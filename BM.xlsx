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2xIN8x34VRgiEOsjtuie9Viw5K502/wMDFJ0o8Iyjc="/>
    </ext>
  </extLst>
</workbook>
</file>

<file path=xl/sharedStrings.xml><?xml version="1.0" encoding="utf-8"?>
<sst xmlns="http://schemas.openxmlformats.org/spreadsheetml/2006/main" count="4879" uniqueCount="2315">
  <si>
    <t>ক্রমিক নং</t>
  </si>
  <si>
    <t>নাম</t>
  </si>
  <si>
    <t>ভোটার নং</t>
  </si>
  <si>
    <t>পিতা</t>
  </si>
  <si>
    <t>মাতা</t>
  </si>
  <si>
    <t>জন্ম তারিখ</t>
  </si>
  <si>
    <t>পেশা</t>
  </si>
  <si>
    <t>ঠিকানা</t>
  </si>
  <si>
    <t>মোঃ মহিবুল হক</t>
  </si>
  <si>
    <t>আজিজুল হক</t>
  </si>
  <si>
    <t>মোছাঃ আয়েশা খাতুন</t>
  </si>
  <si>
    <t>১৫/০৪/১৯৬৫</t>
  </si>
  <si>
    <t>সরকারী চাকুরী</t>
  </si>
  <si>
    <t>মহিষাখোলা</t>
  </si>
  <si>
    <t xml:space="preserve"> গাংনী</t>
  </si>
  <si>
    <t xml:space="preserve"> মেহেরপুর</t>
  </si>
  <si>
    <t>মোঃ আঃ লতিফ</t>
  </si>
  <si>
    <t>মোঃ আব্দুল রশিদ</t>
  </si>
  <si>
    <t>রুপিয়া খাতুন</t>
  </si>
  <si>
    <t>১২/০৫/১৯৫৭</t>
  </si>
  <si>
    <t>ব্যবসা</t>
  </si>
  <si>
    <t>মোহাঃ ওহিদুল আলম</t>
  </si>
  <si>
    <t>ইছাহক আলী বিশ্বাস</t>
  </si>
  <si>
    <t>মোছাঃ জমেলা খাতুন</t>
  </si>
  <si>
    <t>১২/১০/১৯৪৯</t>
  </si>
  <si>
    <t>মোহাঃ ফেরদৌস আলী</t>
  </si>
  <si>
    <t>১২/১০/১৯৬০</t>
  </si>
  <si>
    <t>কৃষক</t>
  </si>
  <si>
    <t>মোঃ ফরিদ আলি</t>
  </si>
  <si>
    <t>তাহাজুদ্দীন</t>
  </si>
  <si>
    <t>মোছাঃ বিবিজান</t>
  </si>
  <si>
    <t>১২/১০/১৯৮৫</t>
  </si>
  <si>
    <t>মোহাঃ ছাইফুল ইসলাম</t>
  </si>
  <si>
    <t>মোহাঃ কোহিনুর বেগম</t>
  </si>
  <si>
    <t>১২/১০/১৯৮২</t>
  </si>
  <si>
    <t>মোঃ জহুরুল ইসলাম</t>
  </si>
  <si>
    <t>মোঃ আশাদুল হক</t>
  </si>
  <si>
    <t>খেদের আলী</t>
  </si>
  <si>
    <t>মোছাঃ ফাতেমা</t>
  </si>
  <si>
    <t>১২/০৫/১৯৭০</t>
  </si>
  <si>
    <t>দিনমজুর</t>
  </si>
  <si>
    <t>মোঃ আমিরুদ্দীন</t>
  </si>
  <si>
    <t>মোঃ সুবহান শেখ</t>
  </si>
  <si>
    <t>মোছাঃ রহিদা</t>
  </si>
  <si>
    <t>১০/০৫/১৯৫৫</t>
  </si>
  <si>
    <t>মোঃ মহিবুল ইসলাম</t>
  </si>
  <si>
    <t>মোছাঃ সামেনা খাতুন</t>
  </si>
  <si>
    <t>২৫/০৬/১৯৮৬</t>
  </si>
  <si>
    <t>ছাত্র/ছাত্রী</t>
  </si>
  <si>
    <t>মোঃ জমিরুল ইসলাম</t>
  </si>
  <si>
    <t>মোঃ সুবহান</t>
  </si>
  <si>
    <t>১০/১০/১৯৭৮</t>
  </si>
  <si>
    <t>মোঃ আসাদুল ইসলাম</t>
  </si>
  <si>
    <t>মোঃ আব্দুল মান্নান</t>
  </si>
  <si>
    <t>মোছাঃ আম্বিয়া খাতুন</t>
  </si>
  <si>
    <t>০৮/০৫/১৯৬৫</t>
  </si>
  <si>
    <t>মোঃ জাহিদুল ইসলাম</t>
  </si>
  <si>
    <t>২৬/০৮/১৯৭২</t>
  </si>
  <si>
    <t>মোঃ ইছারুদ্দীন</t>
  </si>
  <si>
    <t>০৮/০৪/১৯৮২</t>
  </si>
  <si>
    <t>ধানখোলা</t>
  </si>
  <si>
    <t>মোঃ হারেজ উদ্দীন</t>
  </si>
  <si>
    <t>মাদার আলী</t>
  </si>
  <si>
    <t>ফুলকুমারী</t>
  </si>
  <si>
    <t>২০/০৬/১৯৪৭</t>
  </si>
  <si>
    <t>মোঃ হাসান আলী</t>
  </si>
  <si>
    <t>মোঃ জমিরুদ্দীন</t>
  </si>
  <si>
    <t>মোছাঃ সোনাভানু</t>
  </si>
  <si>
    <t>১২/০৪/১৯৭২</t>
  </si>
  <si>
    <t>মোহাঃ ইক্তিয়ার আলম</t>
  </si>
  <si>
    <t>মোঃ আজিজুল</t>
  </si>
  <si>
    <t>মোছাঃ রেবেকা</t>
  </si>
  <si>
    <t>১০/০৫/১৯৭৯</t>
  </si>
  <si>
    <t>মোঃ আমজাদ হোসেন</t>
  </si>
  <si>
    <t>১৫/০৫/১৯৬৭</t>
  </si>
  <si>
    <t>মোঃ সানারুল ইসলাম</t>
  </si>
  <si>
    <t>মোঃ বাদশা মন্ডল</t>
  </si>
  <si>
    <t>মোছাঃ ফাতেমা খাতুন</t>
  </si>
  <si>
    <t>মোঃ আঃ রাজ্জাক</t>
  </si>
  <si>
    <t>মোঃ সামসুল হক</t>
  </si>
  <si>
    <t>মোছাঃ তসলিমা</t>
  </si>
  <si>
    <t>১২/০৫/১৯৭২</t>
  </si>
  <si>
    <t>মোঃ আঃ মালেক</t>
  </si>
  <si>
    <t>মোছাঃ রহিমা খাতুন</t>
  </si>
  <si>
    <t>১৪/০৫/১৯৭৫</t>
  </si>
  <si>
    <t>মোঃ ছানাউল্লাহ</t>
  </si>
  <si>
    <t>১২/০৫/১৯৭৩</t>
  </si>
  <si>
    <t>মোঃ মহিউদ্দীন</t>
  </si>
  <si>
    <t>রাহিল উদ্দীন</t>
  </si>
  <si>
    <t>মোছাঃ রাবিয়া খাতুন</t>
  </si>
  <si>
    <t>১৫/০৫/১৯৮২</t>
  </si>
  <si>
    <t>মোঃ রবিউল ইসলাম</t>
  </si>
  <si>
    <t>মোঃ সামসুল</t>
  </si>
  <si>
    <t>১০/০২/১৯৭৩</t>
  </si>
  <si>
    <t>মোঃ বারিউল ইসলাম</t>
  </si>
  <si>
    <t>মোঃ গোলাম সরো হক</t>
  </si>
  <si>
    <t>মোছাঃ জায়েদা খাতুন</t>
  </si>
  <si>
    <t>১০/০৬/১৯৮৯</t>
  </si>
  <si>
    <t>মোঃ গোলাম সরোয়ার</t>
  </si>
  <si>
    <t>কিয়ামদ্দীন</t>
  </si>
  <si>
    <t>ফতেজান নেছা</t>
  </si>
  <si>
    <t>০৮/০৬/১৯৪২</t>
  </si>
  <si>
    <t>মোঃ শাহাজাহান মল্লিক</t>
  </si>
  <si>
    <t>ছিতাব আলী</t>
  </si>
  <si>
    <t>সাহার বানু</t>
  </si>
  <si>
    <t>০২/১২/১৯৭২</t>
  </si>
  <si>
    <t>মোঃ ইয়ামিন ইসলাম</t>
  </si>
  <si>
    <t>মোঃ আঃ কুদ্দুস</t>
  </si>
  <si>
    <t>মোছাঃ হাজেরা খাতুন</t>
  </si>
  <si>
    <t>১০/০৪/১৯৭৫</t>
  </si>
  <si>
    <t>মোঃ মিরাজুল ইসলাম</t>
  </si>
  <si>
    <t>খেদের</t>
  </si>
  <si>
    <t>১৫/০৩/১৯৭৩</t>
  </si>
  <si>
    <t>মোঃ নাজমুল হক</t>
  </si>
  <si>
    <t>মোঃ নাজির মন্ডল</t>
  </si>
  <si>
    <t>মোছাঃ নাজেরা খাতুন</t>
  </si>
  <si>
    <t>২৩/০৫/১৯৮৫</t>
  </si>
  <si>
    <t>মোঃ হাসিবুল হক</t>
  </si>
  <si>
    <t>মোছাঃ রাবিয়া</t>
  </si>
  <si>
    <t>১০/০২/১৯৬৭</t>
  </si>
  <si>
    <t>মোঃ জয়নাল আবেদিন</t>
  </si>
  <si>
    <t>মোঃ গোলাম মোস্তফা</t>
  </si>
  <si>
    <t>আলিয়া খাতুন</t>
  </si>
  <si>
    <t>১২/০৫/১৯৭৯</t>
  </si>
  <si>
    <t>শ্রী কানু চন্দ্র দাস</t>
  </si>
  <si>
    <t>গণেশ চন্দ্র দাস</t>
  </si>
  <si>
    <t>শ্রী টুনি বালা</t>
  </si>
  <si>
    <t>০৭/০৫/১৯৬৭</t>
  </si>
  <si>
    <t>অন্যান্য</t>
  </si>
  <si>
    <t>মোঃ মিন্টু মিয়া</t>
  </si>
  <si>
    <t>মোঃ রফিকুল ইসলাম</t>
  </si>
  <si>
    <t>মোছাঃ তহুরা খাতুন</t>
  </si>
  <si>
    <t>২০/১০/১৯৮৭</t>
  </si>
  <si>
    <t>মোঃ মকবুল হোসেন</t>
  </si>
  <si>
    <t>মোঃ উমদাদ আলী</t>
  </si>
  <si>
    <t>মোছাঃ ছাহারন নেছা</t>
  </si>
  <si>
    <t>২৫/১০/১৯৬৪</t>
  </si>
  <si>
    <t>মোঃ মিন্টু আলী</t>
  </si>
  <si>
    <t>মোছাঃ ছাহারন খাতুন</t>
  </si>
  <si>
    <t>২২/০৪/১৯৮৭</t>
  </si>
  <si>
    <t>মোঃ জুলাইমান হোসেন</t>
  </si>
  <si>
    <t>আঃ রহমান</t>
  </si>
  <si>
    <t>মোছাঃ হালিমা খাতুন</t>
  </si>
  <si>
    <t>২০/০৮/১৯৮৭</t>
  </si>
  <si>
    <t>শ্রমিক</t>
  </si>
  <si>
    <t>মোঃ ইমাদুল হক</t>
  </si>
  <si>
    <t>খেদের বকস</t>
  </si>
  <si>
    <t>২৫/০৭/১৯৭৫</t>
  </si>
  <si>
    <t>মোঃ তারিকুল ইসলাম</t>
  </si>
  <si>
    <t>মোঃ হায়দার আলী</t>
  </si>
  <si>
    <t>মোছাঃ বানুয়ারা খাতুন</t>
  </si>
  <si>
    <t>২১/১০/১৯৮৮</t>
  </si>
  <si>
    <t>মোঃ মনিরুজ্জামান</t>
  </si>
  <si>
    <t>মোঃ ইয়াকুব আলী</t>
  </si>
  <si>
    <t>মোছাঃ মনোয়ারা খাতুন</t>
  </si>
  <si>
    <t>১১/১২/১৯৮৬</t>
  </si>
  <si>
    <t>বেকার</t>
  </si>
  <si>
    <t>মোঃ হামিদুল ইসলাম</t>
  </si>
  <si>
    <t>মতিয়ার রহমান</t>
  </si>
  <si>
    <t>মোছাঃ হামেদা খাতুন</t>
  </si>
  <si>
    <t>২০/০৪/১৯৭৭</t>
  </si>
  <si>
    <t>মোঃ মানিক আলী</t>
  </si>
  <si>
    <t>শহীদ বকস</t>
  </si>
  <si>
    <t>মোছাঃ নূরজাহান বেগম</t>
  </si>
  <si>
    <t>৩০/১২/১৯৬৮</t>
  </si>
  <si>
    <t>মোঃ জাকিরুল ইসলাম</t>
  </si>
  <si>
    <t>মোছাঃ জগোতারা</t>
  </si>
  <si>
    <t>২০/০৪/১৯৮৯</t>
  </si>
  <si>
    <t>মোঃ মাজেদুল ইসলাম</t>
  </si>
  <si>
    <t>মোঃ আজিজুল ইসলাম</t>
  </si>
  <si>
    <t>মোছাঃ ছবেদা খাতুন</t>
  </si>
  <si>
    <t>১৯/০৭/১৯৮৮</t>
  </si>
  <si>
    <t>মোঃ আরিফ হোসেন</t>
  </si>
  <si>
    <t>ছিয়ামুদ্দীন মল্লিক</t>
  </si>
  <si>
    <t>মোছাঃ ছদিরন নেছা</t>
  </si>
  <si>
    <t>১০/১২/১৯৮২</t>
  </si>
  <si>
    <t>মোঃ জলিল মন্ডল</t>
  </si>
  <si>
    <t>এছের আলী মন্ডল</t>
  </si>
  <si>
    <t>মোছাঃ সবুরা খাতুন</t>
  </si>
  <si>
    <t>২০/০৩/১৯২৭</t>
  </si>
  <si>
    <t>মোঃ আব্দুল গফুর</t>
  </si>
  <si>
    <t>মোঃ আব্দুল আজিজ মন্ডল</t>
  </si>
  <si>
    <t>মোছাঃ রমেলা খাতুন</t>
  </si>
  <si>
    <t>০৮/০১/১৯৮৭</t>
  </si>
  <si>
    <t>বেসরকারী চাকুরী</t>
  </si>
  <si>
    <t>মোঃ শরিফুল ইসলাম</t>
  </si>
  <si>
    <t>মোঃ আঃ মোতালেব</t>
  </si>
  <si>
    <t>মোছাঃ নিবাসন নেছা</t>
  </si>
  <si>
    <t>১২/০৫/১৯৬৯</t>
  </si>
  <si>
    <t>মোঃ আঃ জাব্বার</t>
  </si>
  <si>
    <t>মোঃ আঃ জলিল</t>
  </si>
  <si>
    <t>মোছাঃ নিহারন খাতুন</t>
  </si>
  <si>
    <t>০১/০১/১৯৬৮</t>
  </si>
  <si>
    <t>মোঃ নজরুল ইসলাম</t>
  </si>
  <si>
    <t>মোঃ মহিরুদ্দীন</t>
  </si>
  <si>
    <t>আছিয়া খাতুন</t>
  </si>
  <si>
    <t>২৫/০৭/১৯৬৪</t>
  </si>
  <si>
    <t>মোঃ ইদ্রিস আলী</t>
  </si>
  <si>
    <t>মর্জিনা খাতুন</t>
  </si>
  <si>
    <t>০৩/১২/১৯৭৯</t>
  </si>
  <si>
    <t>মোঃ নিয়ামত আলী</t>
  </si>
  <si>
    <t>আবুল হোসেন</t>
  </si>
  <si>
    <t>মলিদা খাতুন</t>
  </si>
  <si>
    <t>০৫/১০/১৯৭০</t>
  </si>
  <si>
    <t>মোঃ আঃ রশিদ</t>
  </si>
  <si>
    <t>অহিল উদ্দীন মন্ডল</t>
  </si>
  <si>
    <t>মোছাঃ মলেজান খাতুন</t>
  </si>
  <si>
    <t>২৫/১০/১৯৬৯</t>
  </si>
  <si>
    <t>মোঃ আলাউদ্দীন</t>
  </si>
  <si>
    <t>সিরাজুদ্দীন মন্ডল</t>
  </si>
  <si>
    <t>১০/০২/১৯৮১</t>
  </si>
  <si>
    <t>মোঃ আবু বকর ছিদ্দিক</t>
  </si>
  <si>
    <t>মোঃ দেলোয়ার হোসেন</t>
  </si>
  <si>
    <t>০৫/১০/১৯৬২</t>
  </si>
  <si>
    <t>মোঃ নজিমুদ্দীন মল্লিক</t>
  </si>
  <si>
    <t>ছকুরা খাতুন</t>
  </si>
  <si>
    <t>২০/০৩/১৯৫৯</t>
  </si>
  <si>
    <t>মোঃ আউব আলী</t>
  </si>
  <si>
    <t>শহীদ বক্স</t>
  </si>
  <si>
    <t>মোছাঃ তাহারন নেছা</t>
  </si>
  <si>
    <t>২০/১০/১৯৬৫</t>
  </si>
  <si>
    <t>মোঃ আনিচুর রহমান</t>
  </si>
  <si>
    <t>আত্তাব আলী মন্ডল</t>
  </si>
  <si>
    <t>মোছাঃ হামেদা বেগম</t>
  </si>
  <si>
    <t>১০/০৪/১৯৬৯</t>
  </si>
  <si>
    <t>মোঃ মফিজুর রহমান</t>
  </si>
  <si>
    <t>০৫/০৪/১৯৮৫</t>
  </si>
  <si>
    <t>মোঃ হাফিজুর রহমান</t>
  </si>
  <si>
    <t>দাউদ আলী</t>
  </si>
  <si>
    <t>১০/০৪/১৯৭৪</t>
  </si>
  <si>
    <t>মোঃ ইনামুল হক</t>
  </si>
  <si>
    <t>মোঃ জালাল উদ্দীন</t>
  </si>
  <si>
    <t>মোছাঃ সহনা খাতুন</t>
  </si>
  <si>
    <t>০৪/০৫/১৯৮২</t>
  </si>
  <si>
    <t>মোঃ আজিজুল হক</t>
  </si>
  <si>
    <t>ইছাহক আলী</t>
  </si>
  <si>
    <t>০৪/১০/১৯৪৭</t>
  </si>
  <si>
    <t>মোঃ বাবলু হোসেন</t>
  </si>
  <si>
    <t>মোঃ মুনছুর আলী</t>
  </si>
  <si>
    <t>মোছাঃ নূরজাহান খাতুন</t>
  </si>
  <si>
    <t>১০/০৫/১৯৭৩</t>
  </si>
  <si>
    <t>ছিয়ামুদ্দীন</t>
  </si>
  <si>
    <t>১০/০৫/১৯৮৪</t>
  </si>
  <si>
    <t>মোঃ আলফাজ উদ্দীন</t>
  </si>
  <si>
    <t>মোছাঃ আকলিমা খাতুন</t>
  </si>
  <si>
    <t>১০/০৫/১৯৮৩</t>
  </si>
  <si>
    <t>নূরবক্স মন্ডল</t>
  </si>
  <si>
    <t>মোছাঃ ছারেজান খাতুন</t>
  </si>
  <si>
    <t>১০/০৪/১৯৬১</t>
  </si>
  <si>
    <t>মোঃ জাহাঙ্গীর আলম</t>
  </si>
  <si>
    <t>মোঃ আজাদ বকস</t>
  </si>
  <si>
    <t>মোছাঃ হাওয়া খাতুন</t>
  </si>
  <si>
    <t>০৫/০৭/১৯৭৯</t>
  </si>
  <si>
    <t>মোঃ ইসরাফিল আলম</t>
  </si>
  <si>
    <t>মোহাঃ আরজুল্লাহ</t>
  </si>
  <si>
    <t>মোছাঃ মদিনা খাতুন</t>
  </si>
  <si>
    <t>মোঃ আবুল কাশেম</t>
  </si>
  <si>
    <t>কাদের বকস</t>
  </si>
  <si>
    <t>মোছাঃ পিরন নেছা</t>
  </si>
  <si>
    <t>২২/০৫/১৯৫৭</t>
  </si>
  <si>
    <t>মোঃ ওহিদ আলী</t>
  </si>
  <si>
    <t>বাছের মন্ডল</t>
  </si>
  <si>
    <t>মোছাঃ নিমরী খাতুন</t>
  </si>
  <si>
    <t>০৬/০৯/১৯৬৫</t>
  </si>
  <si>
    <t>মোঃ সাজিদুল</t>
  </si>
  <si>
    <t>সবেদা খাতুন</t>
  </si>
  <si>
    <t>১৪/০৬/১৯৭৪</t>
  </si>
  <si>
    <t>মোঃ আসমত আলী</t>
  </si>
  <si>
    <t>মোঃ মওলা বকস</t>
  </si>
  <si>
    <t>আয়শা খাতুন</t>
  </si>
  <si>
    <t>০২/০৫/১৯৭০</t>
  </si>
  <si>
    <t>দাউদ বিশ্বাস</t>
  </si>
  <si>
    <t>১৩/০৭/১৯৮৪</t>
  </si>
  <si>
    <t>মোঃ আঃ রহমান</t>
  </si>
  <si>
    <t>খোরশেদ আলী</t>
  </si>
  <si>
    <t>মোছাঃ ময়ফুল নেছা</t>
  </si>
  <si>
    <t>১২/০৬/১৯৭৫</t>
  </si>
  <si>
    <t>মোঃ আঃ মমিন</t>
  </si>
  <si>
    <t>১০/০৩/১৯৬৩</t>
  </si>
  <si>
    <t>মোঃ আবেদ আলী</t>
  </si>
  <si>
    <t>খেজমত আলী</t>
  </si>
  <si>
    <t>মোছাঃ পাঁচিরন বিবি</t>
  </si>
  <si>
    <t>২০/০৪/১৯৬২</t>
  </si>
  <si>
    <t>মহিরুদ্দীন জোয়ার্দ্দার</t>
  </si>
  <si>
    <t>মোছাঃ রমেছা খাতুন</t>
  </si>
  <si>
    <t>০৫/০৯/১৯৬৩</t>
  </si>
  <si>
    <t>মোঃ জামাত আলী</t>
  </si>
  <si>
    <t>খবির উদ্দীন</t>
  </si>
  <si>
    <t>মোছাঃ রোকেয়া খাতুন</t>
  </si>
  <si>
    <t>০৭/১০/১৯৬২</t>
  </si>
  <si>
    <t>মোঃ আব্দুর রশিদ</t>
  </si>
  <si>
    <t>মোঃ দোয়াত আলী</t>
  </si>
  <si>
    <t>২১/১১/১৯৮৮</t>
  </si>
  <si>
    <t>মোঃ রেজাউল হক</t>
  </si>
  <si>
    <t>০৯/১০/১৯৭৬</t>
  </si>
  <si>
    <t>শিক্ষক</t>
  </si>
  <si>
    <t>মোঃ আনিছুর রহমান</t>
  </si>
  <si>
    <t>শামসুল হক মিয়া</t>
  </si>
  <si>
    <t>মোছাঃ জাহানারা বেগম</t>
  </si>
  <si>
    <t>২০/০৫/১৯৬৩</t>
  </si>
  <si>
    <t>মোঃ আঃ মজিদ</t>
  </si>
  <si>
    <t>দিদার আলী বিশ্বাস</t>
  </si>
  <si>
    <t>মোছাঃ নছিমন নেছা</t>
  </si>
  <si>
    <t>২০/০৪/১৯৬১</t>
  </si>
  <si>
    <t>মোঃ আকছার মন্ডল</t>
  </si>
  <si>
    <t>আনোয়ারা খাতুন</t>
  </si>
  <si>
    <t>১০/০৪/১৯৬২</t>
  </si>
  <si>
    <t>মোঃ জেছের উদ্দীন</t>
  </si>
  <si>
    <t>বদর উদ্দীন</t>
  </si>
  <si>
    <t>৩০/০৪/১৯৭১</t>
  </si>
  <si>
    <t>১০/০৫/১৯৬৯</t>
  </si>
  <si>
    <t>মোঃ মুছারুদ্দীন</t>
  </si>
  <si>
    <t>বদরদ্দীন</t>
  </si>
  <si>
    <t>মোঃ মজিবর রহমান</t>
  </si>
  <si>
    <t>ফুলবাস মন্ডল</t>
  </si>
  <si>
    <t>মোছাঃ নেকজান</t>
  </si>
  <si>
    <t>৩১/১২/১৯৬০</t>
  </si>
  <si>
    <t>মোঃ ওসমান আলী</t>
  </si>
  <si>
    <t>দিদার বিশ্বাস</t>
  </si>
  <si>
    <t>২৫/০৭/১৯৭২</t>
  </si>
  <si>
    <t>মোঃ ওমর আলী</t>
  </si>
  <si>
    <t>১৫/০৩/১৯৭৭</t>
  </si>
  <si>
    <t>নিয়াকত আলী</t>
  </si>
  <si>
    <t>মোছাঃ ছামিরন নেছা</t>
  </si>
  <si>
    <t>০৯/১১/১৯৮২</t>
  </si>
  <si>
    <t>মোঃ আব্দুর রাজ্জাক</t>
  </si>
  <si>
    <t>মোঃ ইউসুফ আলী</t>
  </si>
  <si>
    <t>১৬/০৪/১৯৬৫</t>
  </si>
  <si>
    <t>মোঃ তৈয়ব আলী</t>
  </si>
  <si>
    <t>মোহাঃ আরজান আলী</t>
  </si>
  <si>
    <t>মোছাঃ খাইরন নেছা</t>
  </si>
  <si>
    <t>০৩/০৪/১৯৮০</t>
  </si>
  <si>
    <t>মোঃ আরজান আলী</t>
  </si>
  <si>
    <t>হায়াত আলী</t>
  </si>
  <si>
    <t>মোছাঃ নিমালা খাতুন</t>
  </si>
  <si>
    <t>২০/০৭/১৯৪৭</t>
  </si>
  <si>
    <t>মোঃ বকতিয়ার রহমান</t>
  </si>
  <si>
    <t>১৪/০২/১৯৮৩</t>
  </si>
  <si>
    <t>৩১/১২/১৯৬৯</t>
  </si>
  <si>
    <t>মোঃ ফকির মহাম্মদ</t>
  </si>
  <si>
    <t>হালিমা খাতুন</t>
  </si>
  <si>
    <t>১২/১২/১৯৬০</t>
  </si>
  <si>
    <t>মোঃ সাইফুল ইসলাম</t>
  </si>
  <si>
    <t>২১/১০/১৯৮৪</t>
  </si>
  <si>
    <t>মোঃ ইয়াসিন আলী</t>
  </si>
  <si>
    <t>০৮/০৬/১৯৮২</t>
  </si>
  <si>
    <t>মোঃ ছামসুল হক</t>
  </si>
  <si>
    <t>রহমতুল্লাহ</t>
  </si>
  <si>
    <t>মোছাঃ গলেনূর খাতুন</t>
  </si>
  <si>
    <t>২৫/১২/১৯৬৭</t>
  </si>
  <si>
    <t>মোঃ জবেদ আলী</t>
  </si>
  <si>
    <t>মোছাঃ পাঁচিরন নেছা</t>
  </si>
  <si>
    <t>১২/০৩/১৯৬৭</t>
  </si>
  <si>
    <t>মোঃ ফারুক হোসেন</t>
  </si>
  <si>
    <t>মোছাঃ আবেদা খাতুন</t>
  </si>
  <si>
    <t>১৪/০৭/১৯৮৮</t>
  </si>
  <si>
    <t>মোঃ আনারুল ইসলাম</t>
  </si>
  <si>
    <t>০৭/০৪/১৯৬৭</t>
  </si>
  <si>
    <t>মোঃ আজাদ বকস মন্ডল</t>
  </si>
  <si>
    <t>২৬/০৯/১৯৬২</t>
  </si>
  <si>
    <t>মোঃ রমজান আলী</t>
  </si>
  <si>
    <t>০৫/০৯/১৯৮০</t>
  </si>
  <si>
    <t>মোঃ হাফিজুল ইসলাম</t>
  </si>
  <si>
    <t>মোঃ আকবার আলী</t>
  </si>
  <si>
    <t>মোছাঃ খালেদা খাতুন</t>
  </si>
  <si>
    <t>১০/০৪/১৯৮৬</t>
  </si>
  <si>
    <t>মোঃ সমসের আলী</t>
  </si>
  <si>
    <t>মোঃ গোলাম রসুল</t>
  </si>
  <si>
    <t>মোছাঃ সৃজন বিবি</t>
  </si>
  <si>
    <t>০৬/১০/১৯৬৬</t>
  </si>
  <si>
    <t>মওলা বকস</t>
  </si>
  <si>
    <t>রেকমান নেছা</t>
  </si>
  <si>
    <t>০৪/০৭/১৯৬০</t>
  </si>
  <si>
    <t>মোঃ কদর আলী</t>
  </si>
  <si>
    <t>মোছাঃ বেদানা খাতুন</t>
  </si>
  <si>
    <t>০৫/০৯/১৯৮৪</t>
  </si>
  <si>
    <t>মোঃ ছুরমান আলী</t>
  </si>
  <si>
    <t>মজহার আলী</t>
  </si>
  <si>
    <t>১২/০৫/১৯৭৭</t>
  </si>
  <si>
    <t>মোঃ ইউছুব আলী</t>
  </si>
  <si>
    <t>৩১/১২/১৯৮০</t>
  </si>
  <si>
    <t>মোঃ আঃ করিম</t>
  </si>
  <si>
    <t>আছিয়া বেগম</t>
  </si>
  <si>
    <t>মোঃ হুমায়ন</t>
  </si>
  <si>
    <t>মোছাঃ জোসনা খাতুন</t>
  </si>
  <si>
    <t>১৫/১০/১৯৭৯</t>
  </si>
  <si>
    <t>মোহাম্মদ কামরুল ইসলাম</t>
  </si>
  <si>
    <t>শামসুল</t>
  </si>
  <si>
    <t>আলতাফুন নেছা</t>
  </si>
  <si>
    <t>০৬/১০/১৯৮৬</t>
  </si>
  <si>
    <t>মোঃ ঈমান আলী</t>
  </si>
  <si>
    <t>মোছাঃ ছাপাই খাতুন</t>
  </si>
  <si>
    <t>০৮/১০/১৯৬৯</t>
  </si>
  <si>
    <t>১০/০৫/১৯৭২</t>
  </si>
  <si>
    <t>মোহাঃ মাহাতাব আলী</t>
  </si>
  <si>
    <t>এলাহী মন্ডল</t>
  </si>
  <si>
    <t>মোছাঃ ওছিমা খাতুন</t>
  </si>
  <si>
    <t>০২/১০/১৯৬৭</t>
  </si>
  <si>
    <t>মোঃ মনিরুল ইসলাম</t>
  </si>
  <si>
    <t>মোহাঃ আজাহার মন্ডল</t>
  </si>
  <si>
    <t>মোছাঃ মিনিয়ারা খাতুন</t>
  </si>
  <si>
    <t>০৭/০২/১৯৭২</t>
  </si>
  <si>
    <t>রিক্সা/ভ্যান চালক</t>
  </si>
  <si>
    <t>মোঃ আছের আলী</t>
  </si>
  <si>
    <t>মোহাঃ শমসের আলী</t>
  </si>
  <si>
    <t>মোছাঃ আছিয়া খাতুন</t>
  </si>
  <si>
    <t>০৮/১০/১৯৭৩</t>
  </si>
  <si>
    <t>মোহাঃ মহিদুল ইসলাম</t>
  </si>
  <si>
    <t>মোঃ আমীরুদ্দিন</t>
  </si>
  <si>
    <t>০৮/১০/১৯৮৩</t>
  </si>
  <si>
    <t>আব্দুল্লাহ আল মামুন</t>
  </si>
  <si>
    <t>নুরুল ইসলাম</t>
  </si>
  <si>
    <t>সাহানারা খাতুন</t>
  </si>
  <si>
    <t>৩১/১২/১৯৭৯</t>
  </si>
  <si>
    <t>মোহাঃ ইসমাইল হোসেন</t>
  </si>
  <si>
    <t>শুকুর আলী</t>
  </si>
  <si>
    <t>সারা খাতুন</t>
  </si>
  <si>
    <t>২১/১০/১৯৬৭</t>
  </si>
  <si>
    <t>মোঃ আব্দুস ছাত্তার</t>
  </si>
  <si>
    <t>আরজুল্লা</t>
  </si>
  <si>
    <t>ফতেজান</t>
  </si>
  <si>
    <t>২৩/০৬/১৯৭২</t>
  </si>
  <si>
    <t>মোঃ মামুন-অর-রশিদ</t>
  </si>
  <si>
    <t>মোছাঃ রাজিয়া খাতুন</t>
  </si>
  <si>
    <t>০৫/০৪/১৯৮৮</t>
  </si>
  <si>
    <t>মোঃ বন্টু আলী</t>
  </si>
  <si>
    <t>১০/০২/১৯৮৭</t>
  </si>
  <si>
    <t>মোঃ হোসেন আলী</t>
  </si>
  <si>
    <t>১০/০২/১৯৮২</t>
  </si>
  <si>
    <t>মোতালেব</t>
  </si>
  <si>
    <t>মোছাঃ হামিদা খাতুন</t>
  </si>
  <si>
    <t>২১/০৯/১৯৬৫</t>
  </si>
  <si>
    <t>মোঃ খেজমত আলী</t>
  </si>
  <si>
    <t>আব্দুল সেখ</t>
  </si>
  <si>
    <t>পইরন নেছা</t>
  </si>
  <si>
    <t>২৫/০৩/১৯৬১</t>
  </si>
  <si>
    <t>এলাহী বকস</t>
  </si>
  <si>
    <t>মোছাঃ ওসিমা খাতুন</t>
  </si>
  <si>
    <t>১০/০৬/১৯৭১</t>
  </si>
  <si>
    <t>মোঃ ফয়জাল হোসেন</t>
  </si>
  <si>
    <t>মঞ্জুহার মন্ডল</t>
  </si>
  <si>
    <t>মোছাঃ জাহানারা খাতুন</t>
  </si>
  <si>
    <t>১৭/০৯/১৯৮২</t>
  </si>
  <si>
    <t>মোঃ উজ্জ্বল হোসেন</t>
  </si>
  <si>
    <t>মোছাঃ তহুরা বেগম</t>
  </si>
  <si>
    <t>১০/০২/১৯৮৩</t>
  </si>
  <si>
    <t>মোঃ মুরাদ আলী</t>
  </si>
  <si>
    <t>মোছাঃ মজিরন নেছা</t>
  </si>
  <si>
    <t>১০/০৫/১৯৭৭</t>
  </si>
  <si>
    <t>মোঃ আকরাম আলী</t>
  </si>
  <si>
    <t>তুষ্ট মন্ডল</t>
  </si>
  <si>
    <t>নূরজাহান</t>
  </si>
  <si>
    <t>১০/০২/১৯৬২</t>
  </si>
  <si>
    <t>মোঃ সোলাইমান হোসেন</t>
  </si>
  <si>
    <t>১৫/০২/১৯৭৮</t>
  </si>
  <si>
    <t>মোঃ শামিম রেজা</t>
  </si>
  <si>
    <t>মোঃ ওয়াদুদ আলী</t>
  </si>
  <si>
    <t>২০/০৯/১৯৮৩</t>
  </si>
  <si>
    <t>মোঃ আব্দুল মজিদ</t>
  </si>
  <si>
    <t>ফরমান মন্ডল</t>
  </si>
  <si>
    <t>মোছাঃ কিতারন খাতুন</t>
  </si>
  <si>
    <t>১৯/০৬/১৯৫০</t>
  </si>
  <si>
    <t>মোঃ তহিরদ্দিন</t>
  </si>
  <si>
    <t>মোঃ মহিনদ্দিন</t>
  </si>
  <si>
    <t>মোছাঃ হাজেলা খাতুন</t>
  </si>
  <si>
    <t>১৩/০৭/১৯৬৬</t>
  </si>
  <si>
    <t>মোহাঃ শরিফদ্দিন</t>
  </si>
  <si>
    <t>তাহাজ উদ্দিন</t>
  </si>
  <si>
    <t>মোছাঃ সফুরা খাতুন</t>
  </si>
  <si>
    <t>২৫/০৬/১৯৬৫</t>
  </si>
  <si>
    <t>মোঃ ফজলুল হক</t>
  </si>
  <si>
    <t>মোঃ ফয়েজ উদ্দীন</t>
  </si>
  <si>
    <t>মোছাঃ রেজিয়া খাতুন</t>
  </si>
  <si>
    <t>২৩/০৯/১৯৬২</t>
  </si>
  <si>
    <t>রনজিৎ বিশ্বাস</t>
  </si>
  <si>
    <t>খুকি বিবি</t>
  </si>
  <si>
    <t>০৫/১০/১৯৪২</t>
  </si>
  <si>
    <t>মোঃ ফরজ আলী</t>
  </si>
  <si>
    <t>সুরাজ বিবি</t>
  </si>
  <si>
    <t>১০/০২/১৯৬৪</t>
  </si>
  <si>
    <t>মোঃ লুৎফর রহমান</t>
  </si>
  <si>
    <t>২৪/০৩/১৯৫২</t>
  </si>
  <si>
    <t>মোঃ পলাশ আলী</t>
  </si>
  <si>
    <t>মোঃ রবগুল আলী</t>
  </si>
  <si>
    <t>রহিদা খাতুন</t>
  </si>
  <si>
    <t>১০/০৭/১৯৮৬</t>
  </si>
  <si>
    <t>মেহের আলী</t>
  </si>
  <si>
    <t>১৭/০৬/১৯৭১</t>
  </si>
  <si>
    <t>মোছাঃ কহিনুর খাতুন</t>
  </si>
  <si>
    <t>১৩/০৯/১৯৮৮</t>
  </si>
  <si>
    <t>মোঃ মোক্তার আলী</t>
  </si>
  <si>
    <t>রবগুল মন্ডল</t>
  </si>
  <si>
    <t>জেবন নেছা</t>
  </si>
  <si>
    <t>১৩/১০/১৯৫৫</t>
  </si>
  <si>
    <t>মোঃ নাসির উদ্দীন</t>
  </si>
  <si>
    <t>মোঃ আব্দুল খালেক</t>
  </si>
  <si>
    <t>মোছাঃ সাহিদা খাতুন</t>
  </si>
  <si>
    <t>১৩/০৮/১৯৭১</t>
  </si>
  <si>
    <t>মোঃ সহিদুল ইসলাম</t>
  </si>
  <si>
    <t>১৫/০৬/১৯৮৭</t>
  </si>
  <si>
    <t>মোঃ ফারুক আহমেদ</t>
  </si>
  <si>
    <t>মোঃ মোয়াজ্জেম হোসেন</t>
  </si>
  <si>
    <t>মোছাঃ রাহিমা খাতুন</t>
  </si>
  <si>
    <t>১৪/০৮/১৯৮০</t>
  </si>
  <si>
    <t>মোঃ জাদু মন্ডল</t>
  </si>
  <si>
    <t>মোছাঃ মজিরন খাতুন</t>
  </si>
  <si>
    <t>১০/১১/১৯৬৭</t>
  </si>
  <si>
    <t>মোঃ হাসানুজ্জামান উজ্জ্বল</t>
  </si>
  <si>
    <t>মোঃ আবু বকর সিদ্দিক</t>
  </si>
  <si>
    <t>মোছাঃ রওশনারা বেগম</t>
  </si>
  <si>
    <t>৩১/১২/১৯৮৭</t>
  </si>
  <si>
    <t>মোঃ আরিফুল ইসলাম</t>
  </si>
  <si>
    <t>মোঃ রুহুল আমীন</t>
  </si>
  <si>
    <t>সাহেদা খাতুন</t>
  </si>
  <si>
    <t>১৫/০২/১৯৮১</t>
  </si>
  <si>
    <t>মোঃ জামিরুল ইসলাম</t>
  </si>
  <si>
    <t>মোছাঃ নূরন্নাহার বেগম</t>
  </si>
  <si>
    <t>০১/০৫/১৯৮১</t>
  </si>
  <si>
    <t>ছুরাতন নেছা</t>
  </si>
  <si>
    <t>২০/০৪/১৯৬০</t>
  </si>
  <si>
    <t>মোঃ বজলু হক</t>
  </si>
  <si>
    <t>মোঃ ফয়জদ্দি মল্লিক</t>
  </si>
  <si>
    <t>১২/১০/১৯৬৭</t>
  </si>
  <si>
    <t>মোঃ জসিম উদ্দীন</t>
  </si>
  <si>
    <t>মোছাঃ নূরুন্নাহার বেগম</t>
  </si>
  <si>
    <t>২৬/০১/১৯৮৯</t>
  </si>
  <si>
    <t>মোঃ নজের আলী</t>
  </si>
  <si>
    <t>মোছাঃ মেহেরুন্নেছা</t>
  </si>
  <si>
    <t>১০/১০/১৯৭২</t>
  </si>
  <si>
    <t>মোঃ এনামুল হক</t>
  </si>
  <si>
    <t>ছিদ্দিক আলী</t>
  </si>
  <si>
    <t>মোছাঃ শাহানারা বেগম</t>
  </si>
  <si>
    <t>১৩/১০/১৯৮৭</t>
  </si>
  <si>
    <t>মোঃ মশিউর রহমান</t>
  </si>
  <si>
    <t>মোঃ মজিবরুল ইসলাম</t>
  </si>
  <si>
    <t>মোছাঃ মুর্শিদা খাতুন</t>
  </si>
  <si>
    <t>১৫/০৬/১৯৮৮</t>
  </si>
  <si>
    <t>মোঃ ছমির উদ্দীন</t>
  </si>
  <si>
    <t>মোঃ ছুবান সেখ</t>
  </si>
  <si>
    <t>মোছাঃ রহিদা খাতুন</t>
  </si>
  <si>
    <t>৩১/১২/১৯৭৩</t>
  </si>
  <si>
    <t>মোঃ আঃ হালিম</t>
  </si>
  <si>
    <t>২০/০৩/১৯৮৭</t>
  </si>
  <si>
    <t>মোঃ জাকারিয়া</t>
  </si>
  <si>
    <t>মোছাঃ সাহেদা খাতুন</t>
  </si>
  <si>
    <t>০৫/১০/১৯৮৬</t>
  </si>
  <si>
    <t>মোঃ মুনতাজ আলী</t>
  </si>
  <si>
    <t>আবুল মন্ডল</t>
  </si>
  <si>
    <t>ছুরাতন খাতুন</t>
  </si>
  <si>
    <t>২০/০৬/১৯৬২</t>
  </si>
  <si>
    <t>মোঃ তোফাজ্জেল আলী</t>
  </si>
  <si>
    <t>মোঃ আব্দুল রহমান</t>
  </si>
  <si>
    <t>মোছাঃ নিমিজান খাতুন</t>
  </si>
  <si>
    <t>১০/০৫/১৯৭৮</t>
  </si>
  <si>
    <t>মোঃ শফিউল ইসলাম</t>
  </si>
  <si>
    <t>মোঃ মুনছার আলী</t>
  </si>
  <si>
    <t>মোছাঃ সাজেদা খাতুন</t>
  </si>
  <si>
    <t>১২/০৯/১৯৮৬</t>
  </si>
  <si>
    <t>মোঃ বাবুর আলী</t>
  </si>
  <si>
    <t>মোঃ হায়াত আলী</t>
  </si>
  <si>
    <t>মোছাঃ ছুরাতন নেছা</t>
  </si>
  <si>
    <t>১৫/০৬/১৯৭০</t>
  </si>
  <si>
    <t>মোঃ জিনারুল ইসলাম</t>
  </si>
  <si>
    <t>মোছাঃ নিহারন নেছা</t>
  </si>
  <si>
    <t>২০/০৭/১৯৮০</t>
  </si>
  <si>
    <t>মোছাঃ আরজিনা খাতুন</t>
  </si>
  <si>
    <t>১০/১২/১৯৮৮</t>
  </si>
  <si>
    <t>১৫/০৫/১৯৬২</t>
  </si>
  <si>
    <t>মোঃ আনারুল</t>
  </si>
  <si>
    <t>মোছাঃ তছলিমা খাতুন</t>
  </si>
  <si>
    <t>২০/০৭/১৯৬২</t>
  </si>
  <si>
    <t>মোঃ রাশিদুল ইসলাম</t>
  </si>
  <si>
    <t>মোঃ ইসলাম</t>
  </si>
  <si>
    <t>১০/০৬/১৯৮৮</t>
  </si>
  <si>
    <t>মোঃ জমির উদ্দীন</t>
  </si>
  <si>
    <t>২০/০৬/১৯৮৫</t>
  </si>
  <si>
    <t>মোঃ শফিকুল ইসলাম</t>
  </si>
  <si>
    <t>মোঃ আফসার আলী</t>
  </si>
  <si>
    <t>আমেনা খাতুন</t>
  </si>
  <si>
    <t>মোঃ মিনারুল</t>
  </si>
  <si>
    <t>আঃ রাজ্জাক</t>
  </si>
  <si>
    <t>নিহারন</t>
  </si>
  <si>
    <t>০৫/০২/১৯৮৯</t>
  </si>
  <si>
    <t>মহাতাব উদ্দীন</t>
  </si>
  <si>
    <t>জিলাফন নেছা</t>
  </si>
  <si>
    <t>২৫/০৩/১৯৪৭</t>
  </si>
  <si>
    <t>হারুন অর রশিদ</t>
  </si>
  <si>
    <t>মোছাঃ খাতেমা খাতুন</t>
  </si>
  <si>
    <t>১০/১০/১৯৭৯</t>
  </si>
  <si>
    <t>মোহাঃ লিয়াকত আলী</t>
  </si>
  <si>
    <t>০৭/১১/১৯৭০</t>
  </si>
  <si>
    <t>মোহাঃ আব্দুর রহিম</t>
  </si>
  <si>
    <t>শাহাদত শেখ</t>
  </si>
  <si>
    <t>মোছাঃ টলোজান নেছা</t>
  </si>
  <si>
    <t>০৫/০৩/১৯৫৫</t>
  </si>
  <si>
    <t>মোহাঃ জালাল উদ্দীন</t>
  </si>
  <si>
    <t>০১/০৬/১৯৮১</t>
  </si>
  <si>
    <t>ফেলু শেখ</t>
  </si>
  <si>
    <t>মোছাঃ ছদিমন নেছা</t>
  </si>
  <si>
    <t>০৫/১০/১৯৫৭</t>
  </si>
  <si>
    <t>মোহাঃ আকিরুল ইসলাম</t>
  </si>
  <si>
    <t>মোহাঃ ওসমান আলী</t>
  </si>
  <si>
    <t>মোছাঃ রাফিজা খাতুন</t>
  </si>
  <si>
    <t>১৭/১০/১৯৮৮</t>
  </si>
  <si>
    <t>মোহাঃ খলিলুর রহমান</t>
  </si>
  <si>
    <t>মোহাঃ তানভীর আহাম্মেদ</t>
  </si>
  <si>
    <t>মোহাঃ আহমেদ কবীর</t>
  </si>
  <si>
    <t>মোছাঃ আঞ্জুমানা খাতুন</t>
  </si>
  <si>
    <t>০১/০৬/১৯৭৯</t>
  </si>
  <si>
    <t>শাহাদত হোসেন</t>
  </si>
  <si>
    <t>২৫/০৮/১৯৬৯</t>
  </si>
  <si>
    <t>মোহাঃ শামীম রেজা</t>
  </si>
  <si>
    <t>মোহাঃ আব্দুল করিম</t>
  </si>
  <si>
    <t>মোছাঃ লতিফন নেছা</t>
  </si>
  <si>
    <t>০৫/০৭/১৯৮০</t>
  </si>
  <si>
    <t>১০/১১/১৯৫৫</t>
  </si>
  <si>
    <t>মোঃ বারেক আলী</t>
  </si>
  <si>
    <t>মোহাঃ আব্দুর রহমান</t>
  </si>
  <si>
    <t>মোছাঃ নিমিজান</t>
  </si>
  <si>
    <t>০৩/০৬/১৯৬৮</t>
  </si>
  <si>
    <t>মোঃ মোফাজ্জেল হোসেন</t>
  </si>
  <si>
    <t>মোছাঃ নিমিজান নেছা</t>
  </si>
  <si>
    <t>০৩/০৬/১৯৮০</t>
  </si>
  <si>
    <t>মোজাহায় আলী</t>
  </si>
  <si>
    <t>০৫/০৬/১৯৪০</t>
  </si>
  <si>
    <t>মোহাঃ আক্তারুল ইসলাম</t>
  </si>
  <si>
    <t>মোহাঃ ফুলচুর আলী</t>
  </si>
  <si>
    <t>১০/০৯/১৯৮৭</t>
  </si>
  <si>
    <t>মোঃ আপেল আলী</t>
  </si>
  <si>
    <t>মোহাঃ মেহের আলী</t>
  </si>
  <si>
    <t>মোছাঃ হাসেনা খাতুন</t>
  </si>
  <si>
    <t>১৫/০৮/১৯৮৮</t>
  </si>
  <si>
    <t>মিস্ত্রী</t>
  </si>
  <si>
    <t>মোঃ আব্দুল জলিল</t>
  </si>
  <si>
    <t>১৫/১০/১৯৬২</t>
  </si>
  <si>
    <t>মোহাঃ আবুল বাসার</t>
  </si>
  <si>
    <t>আহাদ আলী শেখ</t>
  </si>
  <si>
    <t>৩০/০৯/১৯৫৫</t>
  </si>
  <si>
    <t>মোহাঃ ইনাকুল ইসলাম</t>
  </si>
  <si>
    <t>মোহাঃ হাসেম আলী</t>
  </si>
  <si>
    <t>০৬/০৮/১৯৮১</t>
  </si>
  <si>
    <t>মোজাহার মন্ডল</t>
  </si>
  <si>
    <t>১০/০৪/১৯৪২</t>
  </si>
  <si>
    <t>২৪/০২/১৯৮৬</t>
  </si>
  <si>
    <t>দর্জি</t>
  </si>
  <si>
    <t>মোহাঃ মহিবুল ইসলাম</t>
  </si>
  <si>
    <t>মোহাঃ হাসেম আলি</t>
  </si>
  <si>
    <t>১১/১১/১৯৮০</t>
  </si>
  <si>
    <t>মোহাঃ মোজাম্মেল হক</t>
  </si>
  <si>
    <t>মোফাজ্জেল-অর-রশিদ</t>
  </si>
  <si>
    <t>১০/১২/১৯৬০</t>
  </si>
  <si>
    <t>মোহাঃ কাউছার আলী</t>
  </si>
  <si>
    <t>হারুন-অর-রশিদ</t>
  </si>
  <si>
    <t>১০/০৮/১৯৭২</t>
  </si>
  <si>
    <t>মোঃ মানিক আলি</t>
  </si>
  <si>
    <t>সিরাজ উদ্দিন শেখ</t>
  </si>
  <si>
    <t>মোছাঃ সাহেরা খাতুন</t>
  </si>
  <si>
    <t>১৮/১০/১৯৭৭</t>
  </si>
  <si>
    <t>মোঃ ফুলচুর আলী</t>
  </si>
  <si>
    <t>জুবান খামারু</t>
  </si>
  <si>
    <t>মোছাঃ সায়বন নাহার</t>
  </si>
  <si>
    <t>১০/০৯/১৯৫৭</t>
  </si>
  <si>
    <t>মোহাঃ সাবুর আলী</t>
  </si>
  <si>
    <t>মোহাঃ হায়াত আলী</t>
  </si>
  <si>
    <t>মোছাঃ সুরাতন খাতুন</t>
  </si>
  <si>
    <t>০৫/০৭/১৯৭২</t>
  </si>
  <si>
    <t>মোহাঃ আনারুল ইসলাম</t>
  </si>
  <si>
    <t>মোহাঃ জাদু মন্ডল</t>
  </si>
  <si>
    <t>১৭/০৫/১৯৭৭</t>
  </si>
  <si>
    <t>মোহাঃ শফিকুল ইসলাম</t>
  </si>
  <si>
    <t>০২/০৪/১৯৭৭</t>
  </si>
  <si>
    <t>মোহাঃ মতিয়ার রহমান</t>
  </si>
  <si>
    <t>সুরাত মন্ডল</t>
  </si>
  <si>
    <t>জরিনা খাতুন</t>
  </si>
  <si>
    <t>০৫/০৬/১৯৬৭</t>
  </si>
  <si>
    <t>মোঃ ইয়ারুল ইসলাম</t>
  </si>
  <si>
    <t>মোঃ ঈমান মন্ডল</t>
  </si>
  <si>
    <t>মোছাঃ ছাপায় খাতুন</t>
  </si>
  <si>
    <t>০৬/০৭/১৯৮৩</t>
  </si>
  <si>
    <t>মোহাঃ জিয়াউল</t>
  </si>
  <si>
    <t>মোহাঃ যাদু মন্ডল</t>
  </si>
  <si>
    <t>১০/০৯/১৯৮১</t>
  </si>
  <si>
    <t>মোহাঃ সুন্নত আলী</t>
  </si>
  <si>
    <t>মোছা আছিয়া খাতুন</t>
  </si>
  <si>
    <t>২২/০৯/১৯৮২</t>
  </si>
  <si>
    <t>মোহাঃ আব্দুল খালেক</t>
  </si>
  <si>
    <t>০১/০৭/১৯৭৭</t>
  </si>
  <si>
    <t>মোহাঃ মুনাজাত আলী</t>
  </si>
  <si>
    <t>মোহাঃ শামসের আলী</t>
  </si>
  <si>
    <t>০৮/১২/১৯৭৬</t>
  </si>
  <si>
    <t>মোহাঃ হযরত আলী</t>
  </si>
  <si>
    <t>ফকির মন্ডল</t>
  </si>
  <si>
    <t>মোছাঃ জাইরা খাতুন</t>
  </si>
  <si>
    <t>২৫/১০/১৯৭১</t>
  </si>
  <si>
    <t>মোঃ নূহু ইসলাম</t>
  </si>
  <si>
    <t>১০/১০/১৯৭৩</t>
  </si>
  <si>
    <t>মোঃ আশরাফ আলী</t>
  </si>
  <si>
    <t>৩১/১০/১৯৬২</t>
  </si>
  <si>
    <t>মোঃ মোবারক আলী</t>
  </si>
  <si>
    <t>৩১/১০/১৯৬৭</t>
  </si>
  <si>
    <t>মোহাঃ ইয়ারুল ইসলাম</t>
  </si>
  <si>
    <t>০১/১২/১৯৮৪</t>
  </si>
  <si>
    <t>মোহাঃ আশরাফুল ইসলাম</t>
  </si>
  <si>
    <t>মোছাঃ মার্জিয়া খাতুন</t>
  </si>
  <si>
    <t>২০/০৫/১৯৮১</t>
  </si>
  <si>
    <t>মোঃ মিনারুল ইসলাম</t>
  </si>
  <si>
    <t>মোহাঃ গোলাম রসুল</t>
  </si>
  <si>
    <t>মোছাঃ সুফিয়া খাতুন</t>
  </si>
  <si>
    <t>১০/০৩/১৯৮১</t>
  </si>
  <si>
    <t>মোঃ বাশিরুজ্জামান</t>
  </si>
  <si>
    <t>মোঃ আবুতালিব</t>
  </si>
  <si>
    <t>মোছাঃ বাচেনা খাতুন</t>
  </si>
  <si>
    <t>০৩/০২/১৯৮৮</t>
  </si>
  <si>
    <t>মোহাঃ সহিরুল ইসলাম</t>
  </si>
  <si>
    <t>মোঃ নাসিরুল ইসলাম</t>
  </si>
  <si>
    <t>১০/১০/১৯৭৭</t>
  </si>
  <si>
    <t>মোহাঃ মিজানুর রহমান</t>
  </si>
  <si>
    <t>১৮/০২/১৯৭৮</t>
  </si>
  <si>
    <t>মোহাঃ ফজলুল হক</t>
  </si>
  <si>
    <t>১৫/০৮/১৯৬৯</t>
  </si>
  <si>
    <t>মোঃ ইসমাইল হোসেন</t>
  </si>
  <si>
    <t>মোহাঃ মুয়াজ্জেম হোসেন</t>
  </si>
  <si>
    <t>১৩/০৬/১৯৭২</t>
  </si>
  <si>
    <t>মোহাঃ মোয়াজ্জেম হোসেন</t>
  </si>
  <si>
    <t>জেহের মন্ডল</t>
  </si>
  <si>
    <t>মোছাঃ নেকজান খাতুন</t>
  </si>
  <si>
    <t>২৫/০৭/১৯৪৯</t>
  </si>
  <si>
    <t>০৫/১০/১৯৭৭</t>
  </si>
  <si>
    <t>৩০/০৬/১৯৮২</t>
  </si>
  <si>
    <t>মোহাঃ ঈমান আলী</t>
  </si>
  <si>
    <t>মোজাহার শেখ</t>
  </si>
  <si>
    <t>০৫/০৬/১৯৩৫</t>
  </si>
  <si>
    <t>মোঃ সলেমান মন্ডল</t>
  </si>
  <si>
    <t>মোছাঃ রাহেলা খাতুন</t>
  </si>
  <si>
    <t>০৫/০৬/১৯৭৭</t>
  </si>
  <si>
    <t>মোঃ বিল্লাল হোসেন</t>
  </si>
  <si>
    <t>মোঃ ছলেমান মন্ডল</t>
  </si>
  <si>
    <t>০৫/০৭/১৯৬০</t>
  </si>
  <si>
    <t>মহিষাখোলা, গাংনী, মেহেরপুর</t>
  </si>
  <si>
    <t>মোঃ মক্কেল আলী</t>
  </si>
  <si>
    <t>মোঃ মতলেব আলী</t>
  </si>
  <si>
    <t>মোছাঃ সাদেশ্বর খাতুন</t>
  </si>
  <si>
    <t>মোঃ আবু তালেব</t>
  </si>
  <si>
    <t>মোঃ মতলেব বিশ্বাস</t>
  </si>
  <si>
    <t>১৫/০৫/১৯৬৪</t>
  </si>
  <si>
    <t>মোঃ ছাত্তার আলী</t>
  </si>
  <si>
    <t>মোহাঃ মতলেব বিশ্বাস</t>
  </si>
  <si>
    <t>১৪/০৮/১৯৭৭</t>
  </si>
  <si>
    <t>মোহাঃ আব্দুল মালেক</t>
  </si>
  <si>
    <t>মোছাঃ পাচীরন নেছা</t>
  </si>
  <si>
    <t>মোহাঃ রমজান আলী</t>
  </si>
  <si>
    <t>মোহাঃ আমিরুদ্দিন মন্ডল</t>
  </si>
  <si>
    <t>০৩/০৮/১৯৬৭</t>
  </si>
  <si>
    <t>মোঃ আমিরুদ্দিন মন্ডল</t>
  </si>
  <si>
    <t>দিরাজ আলী মন্ডল</t>
  </si>
  <si>
    <t>মোছাঃ ফটিক বিবি</t>
  </si>
  <si>
    <t>০৭/০৯/১৯৩২</t>
  </si>
  <si>
    <t>মোহাঃ সহিদুল ইসলাম</t>
  </si>
  <si>
    <t>১০/০৮/১৯৬৯</t>
  </si>
  <si>
    <t>মোহাঃ রাহিদুল ইসলাম</t>
  </si>
  <si>
    <t>০৫/১০/১৯৭৯</t>
  </si>
  <si>
    <t>মোহাঃ মোস্তফা আলী</t>
  </si>
  <si>
    <t>মফেজ উদ্দিন</t>
  </si>
  <si>
    <t>মোছাঃ আইতুন নেছা</t>
  </si>
  <si>
    <t>২৪/০৪/১৯৮২</t>
  </si>
  <si>
    <t>মোহাঃ বদু হোসেন</t>
  </si>
  <si>
    <t>মোহাঃ মোনারদ্দিন</t>
  </si>
  <si>
    <t>মোছাঃ ছকিনা খাতুন</t>
  </si>
  <si>
    <t>১৫/০৯/১৯৭১</t>
  </si>
  <si>
    <t>মোঃ কাউছার আলী</t>
  </si>
  <si>
    <t>মোহাঃ মইজদ্দি বিশ্বাস</t>
  </si>
  <si>
    <t>মোছাঃ আমেনা খাতুন</t>
  </si>
  <si>
    <t>০৯/০৭/১৯৬৭</t>
  </si>
  <si>
    <t>মোহাঃ ইদুরুল ইসলাম</t>
  </si>
  <si>
    <t>০৫/০৮/১৯৭৭</t>
  </si>
  <si>
    <t>মাইগ্রেট হয়েছে</t>
  </si>
  <si>
    <t>মোঃ মইজদ্দি মন্ডল</t>
  </si>
  <si>
    <t>বিলাত মন্ডল</t>
  </si>
  <si>
    <t>মাতাঃ তিতু খাতুন</t>
  </si>
  <si>
    <t>০৭/০৫/১৯২৩</t>
  </si>
  <si>
    <t>মোহাঃ সৈয়দ আলী</t>
  </si>
  <si>
    <t>আখের আলী মন্ডল</t>
  </si>
  <si>
    <t>মোছাঃ আলিমসন খাতুন</t>
  </si>
  <si>
    <t>মোহাঃ ফরাজ আলী</t>
  </si>
  <si>
    <t>মোঃ সৈয়দ আলী</t>
  </si>
  <si>
    <t>মোছাঃ জামেরন খাতুন</t>
  </si>
  <si>
    <t>০৫/১০/১৯৭২</t>
  </si>
  <si>
    <t>মোঃ সিদ্দিক আলী</t>
  </si>
  <si>
    <t>মোছাঃ আমিরন খাতুন</t>
  </si>
  <si>
    <t>০৩/০৫/১৯৬৭</t>
  </si>
  <si>
    <t>মোঃ গোলাম হোসেন</t>
  </si>
  <si>
    <t>মোহাঃ ইমান আলী</t>
  </si>
  <si>
    <t>০৫/০৬/১৯৬২</t>
  </si>
  <si>
    <t>মোঃ আবু তাহের</t>
  </si>
  <si>
    <t>মোঃ মসলেম মন্ডল</t>
  </si>
  <si>
    <t>হাসান আলী</t>
  </si>
  <si>
    <t>গোলাম হোসেন</t>
  </si>
  <si>
    <t>০১/০৪/১৯৮৩</t>
  </si>
  <si>
    <t>মোহাঃ মুনছুর আলি</t>
  </si>
  <si>
    <t>জুবান খামার</t>
  </si>
  <si>
    <t>মাতাঃ সামসুন্নাহার</t>
  </si>
  <si>
    <t>০৫/০৬/১৯৪৫</t>
  </si>
  <si>
    <t>মোহাঃ ছলেমান মন্ডল</t>
  </si>
  <si>
    <t>কালু মন্ডল</t>
  </si>
  <si>
    <t>মাতাঃ রহিমা খাতুন</t>
  </si>
  <si>
    <t>০৫/১০/১৯৩৪</t>
  </si>
  <si>
    <t>মোহাঃ জব্বার আলী</t>
  </si>
  <si>
    <t>খোরশেদ মন্ডল</t>
  </si>
  <si>
    <t>মোছাঃ মইফুল খাতুন</t>
  </si>
  <si>
    <t>০২/০৫/১৯৭৫</t>
  </si>
  <si>
    <t>পিতাঃ কালু মন্ডল</t>
  </si>
  <si>
    <t>০৫/১০/১৯৩৭</t>
  </si>
  <si>
    <t>মোহাম্মদ লালু হোসেন</t>
  </si>
  <si>
    <t>মোহাঃ জমিরুদ্দিন</t>
  </si>
  <si>
    <t>মোছাঃ কল্পনা খাতুন</t>
  </si>
  <si>
    <t>১০/০৫/১৯৮৭</t>
  </si>
  <si>
    <t>১০/০৯/১৯৬৭</t>
  </si>
  <si>
    <t>মোহাঃ কোরবান আলী</t>
  </si>
  <si>
    <t>মংলা বকস</t>
  </si>
  <si>
    <t>০৭/০২/১৯৬২</t>
  </si>
  <si>
    <t>মোঃ হুমায়ন আলী</t>
  </si>
  <si>
    <t>১৭/১০/১৯৭৫</t>
  </si>
  <si>
    <t>০৫/০৯/১৯৮৩</t>
  </si>
  <si>
    <t>মোঃ আমিরুল ইসলাম</t>
  </si>
  <si>
    <t>মোহাম্মদ আলী</t>
  </si>
  <si>
    <t>মোছাঃ আকলিমা</t>
  </si>
  <si>
    <t>১৩/০৯/১৯৬৫</t>
  </si>
  <si>
    <t>মোঃ আখতারুজ্জামান</t>
  </si>
  <si>
    <t>মোছাঃ আসমা খাতুন</t>
  </si>
  <si>
    <t>১৭/০৮/১৯৮৩</t>
  </si>
  <si>
    <t>মোঃ নূর ইসলাম</t>
  </si>
  <si>
    <t>নইমদ্দীন</t>
  </si>
  <si>
    <t>রাহেলা খাতুন</t>
  </si>
  <si>
    <t>১৭/১০/১৯৪৭</t>
  </si>
  <si>
    <t>মোঃ মজিরুল ইসলাম</t>
  </si>
  <si>
    <t>মোছাঃ আলকিমা</t>
  </si>
  <si>
    <t>১২/০৭/১৯৬৭</t>
  </si>
  <si>
    <t>মোঃ শহিদুল ইসলাম</t>
  </si>
  <si>
    <t>রইচ উদ্দীন</t>
  </si>
  <si>
    <t>মোছাঃ নকলা খাতুন</t>
  </si>
  <si>
    <t>২০/০৮/১৯৬৯</t>
  </si>
  <si>
    <t>মোঃ বাবলু</t>
  </si>
  <si>
    <t>১৯/০৭/১৯৭৯</t>
  </si>
  <si>
    <t>মওলা খাতুন</t>
  </si>
  <si>
    <t>১৩/০৮/১৯৬৫</t>
  </si>
  <si>
    <t>মোঃ কাবিল উদ্দীন</t>
  </si>
  <si>
    <t>মোছাঃ রোমেলা খাতুন</t>
  </si>
  <si>
    <t>২৭/১০/১৯৬২</t>
  </si>
  <si>
    <t>মোছাঃ হেনা খাতুন</t>
  </si>
  <si>
    <t>১৭/১০/১৯৮১</t>
  </si>
  <si>
    <t>মোঃ আকতারুজ্জামান</t>
  </si>
  <si>
    <t>মোঃ সুলতান</t>
  </si>
  <si>
    <t>মোছাঃ জহিরন নেছা</t>
  </si>
  <si>
    <t>২৩/০৭/১৯৮৮</t>
  </si>
  <si>
    <t>মোঃ হাফেজ উদ্দীন</t>
  </si>
  <si>
    <t>মফেজ উদ্দীন</t>
  </si>
  <si>
    <t>ফুলজান</t>
  </si>
  <si>
    <t>০২/০৩/১৯৫৫</t>
  </si>
  <si>
    <t>মোছাঃ মনোয়ারা</t>
  </si>
  <si>
    <t>১০/০৮/১৯৮২</t>
  </si>
  <si>
    <t>মোঃ রহিল উদ্দীন</t>
  </si>
  <si>
    <t>১৪/০৫/১৯৬৭</t>
  </si>
  <si>
    <t>আইজদ্দীন</t>
  </si>
  <si>
    <t>মোছাঃ আরজিনা</t>
  </si>
  <si>
    <t>২৭/০৬/১৯৭৯</t>
  </si>
  <si>
    <t>মোঃ আফজাল হোসেন</t>
  </si>
  <si>
    <t>২৮/০৩/১৯৮৩</t>
  </si>
  <si>
    <t>হারান মল্লিক</t>
  </si>
  <si>
    <t>কাদেজান</t>
  </si>
  <si>
    <t>১৩/০৮/১৯২৭</t>
  </si>
  <si>
    <t>মোঃ মজনু আলী</t>
  </si>
  <si>
    <t>২০/০৩/১৯৬৯</t>
  </si>
  <si>
    <t>মোঃ হামিদুল হক</t>
  </si>
  <si>
    <t>২০/০৩/১৯৭৯</t>
  </si>
  <si>
    <t>০২/০৩/১৯৭১</t>
  </si>
  <si>
    <t>মোঃ আজগর আলী</t>
  </si>
  <si>
    <t>আবু বক্কর</t>
  </si>
  <si>
    <t>হালিমা</t>
  </si>
  <si>
    <t>২১/০৯/১৯৪৭</t>
  </si>
  <si>
    <t>মোছাঃ মাহিরন</t>
  </si>
  <si>
    <t>২২/০৫/১৯৭৭</t>
  </si>
  <si>
    <t>মোঃ হানিফ আলী</t>
  </si>
  <si>
    <t>তাহাজ উদ্দীন</t>
  </si>
  <si>
    <t>মোছাঃ সফুরা</t>
  </si>
  <si>
    <t>১৫/০৫/১৯৭৫</t>
  </si>
  <si>
    <t>সাহেদা</t>
  </si>
  <si>
    <t>২০/০৯/১৯৭৫</t>
  </si>
  <si>
    <t>মোঃ তুফাজ্জেল হক</t>
  </si>
  <si>
    <t>নহিরুদ্দিন</t>
  </si>
  <si>
    <t>মোছাঃ মঞ্জিরা</t>
  </si>
  <si>
    <t>১৩/১০/১৯৭৫</t>
  </si>
  <si>
    <t>মোঃ হারান আলী</t>
  </si>
  <si>
    <t>মৃত নবীছদ্দিন</t>
  </si>
  <si>
    <t>মোছাঃ মজিমন</t>
  </si>
  <si>
    <t>২৩/১০/১৯৭৭</t>
  </si>
  <si>
    <t>মোঃ আরশেদ আলী</t>
  </si>
  <si>
    <t>আফতাব হোসেন</t>
  </si>
  <si>
    <t>মোছাঃ রাবেয়া খাতুন</t>
  </si>
  <si>
    <t>২০/০৬/১৯৫৯</t>
  </si>
  <si>
    <t>১৮/১০/১৯৮৫</t>
  </si>
  <si>
    <t>মোঃ আইয়ুব আলী</t>
  </si>
  <si>
    <t>আতর আলী</t>
  </si>
  <si>
    <t>মোছাঃ খাতুন</t>
  </si>
  <si>
    <t>২৮/০৯/১৯৪৭</t>
  </si>
  <si>
    <t>মোছাঃ কাইনুর</t>
  </si>
  <si>
    <t>২৬/০৮/১৯৬৯</t>
  </si>
  <si>
    <t>মোঃ জিয়ারুল ইসলাম</t>
  </si>
  <si>
    <t>মোছাঃ কাইনুর খাতুন</t>
  </si>
  <si>
    <t>১৫/০৪/১৯৮৩</t>
  </si>
  <si>
    <t>২০/০৮/১৯৫৭</t>
  </si>
  <si>
    <t>মোঃ ইছারুল ইসলাম</t>
  </si>
  <si>
    <t>২২/১০/১৯৮৪</t>
  </si>
  <si>
    <t>মেহের মোল্লা</t>
  </si>
  <si>
    <t>মোঃ আতিয়ার রহমান</t>
  </si>
  <si>
    <t>মনোরুদ্দী</t>
  </si>
  <si>
    <t>কারিমল</t>
  </si>
  <si>
    <t>২৩/০৬/১৯৫৭</t>
  </si>
  <si>
    <t>মোঃ তোফাজ্জেল হোসেন</t>
  </si>
  <si>
    <t>আব্দুল হামিদ</t>
  </si>
  <si>
    <t>মোছাঃ জহুরা খাতুন</t>
  </si>
  <si>
    <t>২৪/১০/১৯৬৯</t>
  </si>
  <si>
    <t>মোঃ আশাদুল</t>
  </si>
  <si>
    <t>১৯/০৫/১৯৭৫</t>
  </si>
  <si>
    <t>২১/০৩/১৯৭৯</t>
  </si>
  <si>
    <t>মোঃ নূহু আলম</t>
  </si>
  <si>
    <t>১৩/১১/১৯৬৯</t>
  </si>
  <si>
    <t>মোঃ আব্দুল হান্নান</t>
  </si>
  <si>
    <t>আঃ গফুর</t>
  </si>
  <si>
    <t>২৬/১০/১৯৬২</t>
  </si>
  <si>
    <t>মোঃ সেন্টু আলী</t>
  </si>
  <si>
    <t>মোঃ আঃ হান্নান</t>
  </si>
  <si>
    <t>মোছাঃ আস্তরা খাতুন</t>
  </si>
  <si>
    <t>১৭/০৭/১৯৮২</t>
  </si>
  <si>
    <t>মোঃ তোয়াজ আলী</t>
  </si>
  <si>
    <t>তুষ্ট আলী</t>
  </si>
  <si>
    <t>নুরজাহান</t>
  </si>
  <si>
    <t>১৯/০৮/১৯৬৭</t>
  </si>
  <si>
    <t>মোঃ ইলিয়াহু হোসেন</t>
  </si>
  <si>
    <t>মোঃ একরামুল হক</t>
  </si>
  <si>
    <t>১৩/১০/১৯৮৫</t>
  </si>
  <si>
    <t>মোঃ মিজানুর রহমান</t>
  </si>
  <si>
    <t>০১/০২/১৯৭৪</t>
  </si>
  <si>
    <t>২৩/১১/১৯৮১</t>
  </si>
  <si>
    <t>মোঃ সবির আলী</t>
  </si>
  <si>
    <t>মোঃ মঈন উদ্দীন</t>
  </si>
  <si>
    <t>১৪/০২/১৯৭১</t>
  </si>
  <si>
    <t>মোঃ আব্দুস ছালাম</t>
  </si>
  <si>
    <t>মোঃ ইদিস আলী</t>
  </si>
  <si>
    <t>১২/১০/১৯৭৫</t>
  </si>
  <si>
    <t>মোঃ রহিদুল ইসলাম</t>
  </si>
  <si>
    <t>গোলাম রসুল</t>
  </si>
  <si>
    <t>১৯/০৭/১৯৭৭</t>
  </si>
  <si>
    <t>মোঃ হযরত আলী</t>
  </si>
  <si>
    <t>১৭/০৩/১৯৬৫</t>
  </si>
  <si>
    <t>মোঃ কুদরত আলী</t>
  </si>
  <si>
    <t>২৩/০৮/১৯৬৯</t>
  </si>
  <si>
    <t>মোঃ আকবর আলী</t>
  </si>
  <si>
    <t>মোঃ ছহিরদ্দী</t>
  </si>
  <si>
    <t>২৩/০৭/১৯৬৯</t>
  </si>
  <si>
    <t>মোঃ আব্দুল জব্বার</t>
  </si>
  <si>
    <t>মোঃ ছহিরদ্দীন</t>
  </si>
  <si>
    <t>১৮/০৬/১৯৬৫</t>
  </si>
  <si>
    <t>হিমচাঁদ মন্ডল</t>
  </si>
  <si>
    <t>খুকিজান</t>
  </si>
  <si>
    <t>২০/০৮/১৯৩২</t>
  </si>
  <si>
    <t>মোহাঃ আবুল কালাম আজাদ</t>
  </si>
  <si>
    <t>মোহাঃ আব্দুল মোতালেব</t>
  </si>
  <si>
    <t>মোছাঃ হামিদা বেগম</t>
  </si>
  <si>
    <t>৩১/১২/১৯৬৭</t>
  </si>
  <si>
    <t>আব্দুল মোতালেব</t>
  </si>
  <si>
    <t>১৩/০৯/১৯৭৫</t>
  </si>
  <si>
    <t>১৩/০৮/১৯৮১</t>
  </si>
  <si>
    <t>সিরাজ</t>
  </si>
  <si>
    <t>হামিদা খাতুন</t>
  </si>
  <si>
    <t>১৭/১০/১৯৬৯</t>
  </si>
  <si>
    <t>১৪/০৫/১৯৮৬</t>
  </si>
  <si>
    <t>মোহাঃ মাজেদুল ইসলাম</t>
  </si>
  <si>
    <t>মোহাঃ মোতালেব</t>
  </si>
  <si>
    <t>২৮/০২/১৯৮৫</t>
  </si>
  <si>
    <t>মোছাঃ হামিদা নেছা</t>
  </si>
  <si>
    <t>২২/০৮/১৯৭৬</t>
  </si>
  <si>
    <t>মোঃ আত্তাব আলী</t>
  </si>
  <si>
    <t>খোদা বকস</t>
  </si>
  <si>
    <t>মাতাঃ মাহিরন নেছা</t>
  </si>
  <si>
    <t>১০/০৭/১৯৫৫</t>
  </si>
  <si>
    <t>মোঃ আক্তারুল ইসলাম</t>
  </si>
  <si>
    <t>মোছাঃ মহিলা নেছা</t>
  </si>
  <si>
    <t>১৯/০৬/১৯৭৯</t>
  </si>
  <si>
    <t>মোঃ সিরাজুল ইসলাম</t>
  </si>
  <si>
    <t>মোছাঃ মহিলা খাতুন</t>
  </si>
  <si>
    <t>১৭/০৮/১৯৮৭</t>
  </si>
  <si>
    <t>মোঃ সাজদার আলী</t>
  </si>
  <si>
    <t>সামছুল হক</t>
  </si>
  <si>
    <t>২১/১০/১৯৭৩</t>
  </si>
  <si>
    <t>মোছাঃ রমেলা</t>
  </si>
  <si>
    <t>১৯/০৮/১৯৫৭</t>
  </si>
  <si>
    <t>মোঃ আব্দুর রহমান</t>
  </si>
  <si>
    <t>হাউস আলী</t>
  </si>
  <si>
    <t>মাতাঃ সাইবান</t>
  </si>
  <si>
    <t>২৬/০৯/১৯৫২</t>
  </si>
  <si>
    <t>মোঃ আহাম্মাদ আলী</t>
  </si>
  <si>
    <t>২২/০৬/১৯৭৯</t>
  </si>
  <si>
    <t>মোঃ আলী কদর</t>
  </si>
  <si>
    <t>২৭/০৫/১৯৭৯</t>
  </si>
  <si>
    <t>সায়েবান</t>
  </si>
  <si>
    <t>১৮/০৩/১৯৫৩</t>
  </si>
  <si>
    <t>মোঃ আলামিন</t>
  </si>
  <si>
    <t>১৩/০৬/১৯৮৮</t>
  </si>
  <si>
    <t>মোঃ গঞ্জের আলী</t>
  </si>
  <si>
    <t>১৩/০৬/১৯৫৮</t>
  </si>
  <si>
    <t>২৭/০৯/১৯৬৯</t>
  </si>
  <si>
    <t>মোঃ সমির উদ্দীন</t>
  </si>
  <si>
    <t>২০/০৩/১৯৬৫</t>
  </si>
  <si>
    <t>১৯/০৬/১৯৬৯</t>
  </si>
  <si>
    <t>আখের আলী</t>
  </si>
  <si>
    <t>২০/০৮/১৯২৭</t>
  </si>
  <si>
    <t>মোঃ ইকবাল হোসেন</t>
  </si>
  <si>
    <t>২০/০৭/১৯৭৫</t>
  </si>
  <si>
    <t>মোঃ নজের আলী মন্ডল</t>
  </si>
  <si>
    <t>১৭/০৬/১৯৫৯</t>
  </si>
  <si>
    <t>মোঃ সুমন আলী</t>
  </si>
  <si>
    <t>মোঃ তোজাম্মেল হক</t>
  </si>
  <si>
    <t>লুৎফর রহমান</t>
  </si>
  <si>
    <t>মাতাঃ আবেদা খাতুন</t>
  </si>
  <si>
    <t>১২/০৫/১৯৬২</t>
  </si>
  <si>
    <t>লালু মালিথা</t>
  </si>
  <si>
    <t>মাতাঃ জহিরন</t>
  </si>
  <si>
    <t>১২/০৫/১৯৬০</t>
  </si>
  <si>
    <t>মোঃ আরব আলী</t>
  </si>
  <si>
    <t>কোরমান আলী</t>
  </si>
  <si>
    <t>১২/১০/১৯৭৯</t>
  </si>
  <si>
    <t>কোরমান আলি</t>
  </si>
  <si>
    <t>১২/০৫/১৯৭৫</t>
  </si>
  <si>
    <t>মোঃ খোকন আলী</t>
  </si>
  <si>
    <t>রইছদ্দীন</t>
  </si>
  <si>
    <t>মোছাঃ কাঞ্চন নেছা</t>
  </si>
  <si>
    <t>মোঃ ফেরদৌস আলী</t>
  </si>
  <si>
    <t>মোছাঃ কাঞ্চন খাতুন</t>
  </si>
  <si>
    <t>১০/০৫/১৯৫৭</t>
  </si>
  <si>
    <t>মোঃ আলেফ আলী</t>
  </si>
  <si>
    <t>আঃ কাদের আলী</t>
  </si>
  <si>
    <t>মোঃ আব্দুল মোমিন</t>
  </si>
  <si>
    <t>মোঃ গোলাম সরোহাক</t>
  </si>
  <si>
    <t>২৫/০৬/১৯৭২</t>
  </si>
  <si>
    <t>মোঃ ছানোয়ার হোসেন</t>
  </si>
  <si>
    <t>মোছাঃ তসলিমা খাতুন</t>
  </si>
  <si>
    <t>১০/০২/১৯৬৫</t>
  </si>
  <si>
    <t>মোঃ গোলাম কিবরিয়া</t>
  </si>
  <si>
    <t>মোছাঃ সামসুন্নাহার</t>
  </si>
  <si>
    <t>১০/০২/১৯৮৬</t>
  </si>
  <si>
    <t>মোঃ রাহাতুল্লাহ</t>
  </si>
  <si>
    <t>কমেলা খাতুন</t>
  </si>
  <si>
    <t>২০/০২/১৯৫০</t>
  </si>
  <si>
    <t>মোঃ রুস্তম আলী</t>
  </si>
  <si>
    <t>মোঃ দিলু হোসেন</t>
  </si>
  <si>
    <t>মোছাঃ নিছারন</t>
  </si>
  <si>
    <t>মোঃ লিহাজ উদ্দীন</t>
  </si>
  <si>
    <t>সামছুল্দদীন</t>
  </si>
  <si>
    <t>রাবিয়া খাতুন</t>
  </si>
  <si>
    <t>০৮/০৬/১৯৭১</t>
  </si>
  <si>
    <t>০৮/০৬/১৯৭৭</t>
  </si>
  <si>
    <t>মনতাজ আলী</t>
  </si>
  <si>
    <t>তাহাজদ্দীন</t>
  </si>
  <si>
    <t>মোছাঃ মুসিরন</t>
  </si>
  <si>
    <t>০৬/০২/১৯৭৫</t>
  </si>
  <si>
    <t>মোঃ সাহাতুল্লাহ</t>
  </si>
  <si>
    <t>মাতাঃ কমেলা</t>
  </si>
  <si>
    <t>১৬/০২/১৯৬১</t>
  </si>
  <si>
    <t>মোঃ আঃ রহিম</t>
  </si>
  <si>
    <t>রোকিয়া খাতুন</t>
  </si>
  <si>
    <t>২০/০৪/১৯৭০</t>
  </si>
  <si>
    <t>মোঃ ময়নাল হক</t>
  </si>
  <si>
    <t>আশকর আলী</t>
  </si>
  <si>
    <t>মোছাঃ তহমিনা খাতুন</t>
  </si>
  <si>
    <t>২৫/০২/১৯৮৯</t>
  </si>
  <si>
    <t>মোঃ রহিম আলী</t>
  </si>
  <si>
    <t>শাহাদত আলী</t>
  </si>
  <si>
    <t>মোছাঃ সাহাদত আলী</t>
  </si>
  <si>
    <t>মোজ্জম মন্ডল</t>
  </si>
  <si>
    <t>মোছাঃ রাহেমা খাতুন</t>
  </si>
  <si>
    <t>০৭/০৬/১৯৮৭</t>
  </si>
  <si>
    <t>মোঃ রাজু আহম্মোদ</t>
  </si>
  <si>
    <t>মোছাঃ আদরী খাতুন</t>
  </si>
  <si>
    <t>১০/০৫/১৯৮২</t>
  </si>
  <si>
    <t>মোঃ ছারিকুল ইসলাম</t>
  </si>
  <si>
    <t>মোছাঃ গোলনাহার</t>
  </si>
  <si>
    <t>০৮/০৩/১৯৮৬</t>
  </si>
  <si>
    <t>মোঃ আঃ মান্নান</t>
  </si>
  <si>
    <t>১২/১০/১৯৯১</t>
  </si>
  <si>
    <t>মোঃ আব্দুল্লাহ</t>
  </si>
  <si>
    <t>মোঃ মুছা উদ্দীন</t>
  </si>
  <si>
    <t>মোছাঃ রওশনা খাতুন</t>
  </si>
  <si>
    <t>১৩/১২/১৯৯০</t>
  </si>
  <si>
    <t>মোঃ আয়জদ্দীন আলী</t>
  </si>
  <si>
    <t>১০/১১/১৯৮৯</t>
  </si>
  <si>
    <t>মোঃ মহিদুল ইসলাম</t>
  </si>
  <si>
    <t>০৫/১০/১৯৯০</t>
  </si>
  <si>
    <t>মোঃ আঃ সালাম</t>
  </si>
  <si>
    <t>মোঃ আঃ ওয়াদুত</t>
  </si>
  <si>
    <t>১০/১১/১৯৯০</t>
  </si>
  <si>
    <t>রাজু আহমেদ</t>
  </si>
  <si>
    <t>মোঃ আবুল বাশার</t>
  </si>
  <si>
    <t>মোছাঃ খাদিজা খাতুন</t>
  </si>
  <si>
    <t>১১/০৫/১৯৯০</t>
  </si>
  <si>
    <t>মোঃ সামসুল ইসলাম</t>
  </si>
  <si>
    <t>মোঃ মজিদ আলী</t>
  </si>
  <si>
    <t>মোছাঃ নিলুফা খাতুন</t>
  </si>
  <si>
    <t>২৫/০২/১৯৮৭</t>
  </si>
  <si>
    <t>মোঃ মফিজুল হোসেন</t>
  </si>
  <si>
    <t>১২/০৫/১৯৯১</t>
  </si>
  <si>
    <t>আলম হোসেন</t>
  </si>
  <si>
    <t>মুন্তাজ আলী</t>
  </si>
  <si>
    <t>মাতাঃ নাজিরা খাতুন</t>
  </si>
  <si>
    <t>০৭/০৮/১৯৮৬</t>
  </si>
  <si>
    <t>মোঃ রকিবুল ইসলাম</t>
  </si>
  <si>
    <t>মোছাঃ বেলীয়ারা খাতুন</t>
  </si>
  <si>
    <t>০৮/১২/১৯৮৮</t>
  </si>
  <si>
    <t>মোঃ আকতার</t>
  </si>
  <si>
    <t>আরজান আলী</t>
  </si>
  <si>
    <t>১০/০১/১৯৭৭</t>
  </si>
  <si>
    <t>মোঃ আরজুল্লাহ</t>
  </si>
  <si>
    <t>১৫/০৮/১৯৭৮</t>
  </si>
  <si>
    <t>মোঃ ফিরোজুল হোসেন</t>
  </si>
  <si>
    <t>মোঃ আব্দুর রহিম</t>
  </si>
  <si>
    <t>মোছাঃ মেরিনা খাতুন</t>
  </si>
  <si>
    <t>২৯/০৫/১৯৮৭</t>
  </si>
  <si>
    <t>মোঃ জামাল হোসেন</t>
  </si>
  <si>
    <t>মোছাঃ রওশনারা খাতুন</t>
  </si>
  <si>
    <t>১৮/০৮/১৯৮৩</t>
  </si>
  <si>
    <t>মোঃ শওকত আলী</t>
  </si>
  <si>
    <t>কছিমদ্দীন</t>
  </si>
  <si>
    <t>মোছাঃ জাহেরা খাতুন</t>
  </si>
  <si>
    <t>১২/০২/১৯৬৪</t>
  </si>
  <si>
    <t>মোঃ মাবুদ আলী</t>
  </si>
  <si>
    <t>মোঃ আব্দুল আলেফ</t>
  </si>
  <si>
    <t>মোছাঃ আংগরা খাতুন</t>
  </si>
  <si>
    <t>১৫/০২/১৯৮২</t>
  </si>
  <si>
    <t>রইছদ্দীন মন্ডল</t>
  </si>
  <si>
    <t>১০/০২/১৯৪৭</t>
  </si>
  <si>
    <t>মোঃ মহাবুল ইসলাম</t>
  </si>
  <si>
    <t>মোঃ শহিদুল</t>
  </si>
  <si>
    <t>মোছাঃ ছিয়াতন নেছা</t>
  </si>
  <si>
    <t>১২/০৪/১৯৮৩</t>
  </si>
  <si>
    <t>আবুল কাশেম</t>
  </si>
  <si>
    <t>মোছাঃ সোহাগী খাতুন</t>
  </si>
  <si>
    <t>২৮/০২/১৯৫৩</t>
  </si>
  <si>
    <t>মোঃ শরিওত আলী</t>
  </si>
  <si>
    <t>অফেজদ্দীন</t>
  </si>
  <si>
    <t>মোছাঃ সাহেরা বানু</t>
  </si>
  <si>
    <t>১২/০৪/১৯৬২</t>
  </si>
  <si>
    <t>মোঃ ফারুক আলী</t>
  </si>
  <si>
    <t>২২/০২/১৯৮৩</t>
  </si>
  <si>
    <t>মোঃ শাহিন রেজা</t>
  </si>
  <si>
    <t>মোছাঃ রোকিয়া খাতুন</t>
  </si>
  <si>
    <t>০৬/১১/১৯৮৮</t>
  </si>
  <si>
    <t>মোঃ গোলজার হোসেন</t>
  </si>
  <si>
    <t>মোছাঃ রেবেকা খাতুন</t>
  </si>
  <si>
    <t>১০/০৫/১৯৬৭</t>
  </si>
  <si>
    <t>মোঃ সের মোহাম্মাদ</t>
  </si>
  <si>
    <t>মোঃ মালেক উদ্দিন</t>
  </si>
  <si>
    <t>০৩/০৩/১৯৮৫</t>
  </si>
  <si>
    <t>মোছাঃ হারেজান নেছা</t>
  </si>
  <si>
    <t>০১/০২/১৯৬৭</t>
  </si>
  <si>
    <t>১৫/০৫/১৯৭১</t>
  </si>
  <si>
    <t>মোঃ আফসার উদ্দীন</t>
  </si>
  <si>
    <t>মাতাঃ আনোয়ারা</t>
  </si>
  <si>
    <t>২০/০৮/১৯৭৫</t>
  </si>
  <si>
    <t>মোঃ আব্দুল মালেক</t>
  </si>
  <si>
    <t>আঃ কাদের মন্ডল</t>
  </si>
  <si>
    <t>১০/০২/১৯৫৪</t>
  </si>
  <si>
    <t>আব্দুর সাত্তার</t>
  </si>
  <si>
    <t>হাজেরা খাতুন</t>
  </si>
  <si>
    <t>১২/০৪/১৯৮২</t>
  </si>
  <si>
    <t>মোঃ বজলুল</t>
  </si>
  <si>
    <t>মাতাঃ হাজেরা খাতুন</t>
  </si>
  <si>
    <t>১০/০২/১৯৭২</t>
  </si>
  <si>
    <t>আব্দুল সাত্তার</t>
  </si>
  <si>
    <t>মোঃ কাজল আলী</t>
  </si>
  <si>
    <t>১৫/০৪/১৯৮৭</t>
  </si>
  <si>
    <t>মোঃ শরিফদ্দীন</t>
  </si>
  <si>
    <t>১০/০৫/১৯৬২</t>
  </si>
  <si>
    <t>মোঃ আলতাফ হোসেন</t>
  </si>
  <si>
    <t>সাহাজুল শেখ</t>
  </si>
  <si>
    <t>মোছাঃ আলিয়া খাতুন</t>
  </si>
  <si>
    <t>০৮/০৯/১৯৮০</t>
  </si>
  <si>
    <t>মোঃ শামসুল হক</t>
  </si>
  <si>
    <t>মোঃ হিফাজ উদ্দীন</t>
  </si>
  <si>
    <t>মোছাঃ নৈতন নেছা</t>
  </si>
  <si>
    <t>১৫/০২/১৯৬৯</t>
  </si>
  <si>
    <t>মোঃ আলাল উদ্দীন</t>
  </si>
  <si>
    <t>১০/০৪/১৯৭৭</t>
  </si>
  <si>
    <t>মোঃ জুল হোসেন</t>
  </si>
  <si>
    <t>১০/০৫/১৯৭১</t>
  </si>
  <si>
    <t>হারেজে উদ্দীন</t>
  </si>
  <si>
    <t>মোছাঃ খতেজান</t>
  </si>
  <si>
    <t>১২/০৫/১৯৬৪</t>
  </si>
  <si>
    <t>মোঃ আজিবার রহমান</t>
  </si>
  <si>
    <t>মোছাঃ খতেজান নেছা</t>
  </si>
  <si>
    <t>২০/০২/১৯৭২</t>
  </si>
  <si>
    <t>মোঃ ইমরুল হোসেন</t>
  </si>
  <si>
    <t>২০/০৪/১৯৮৪</t>
  </si>
  <si>
    <t>মোঃ হাফিজুর ইসলাম</t>
  </si>
  <si>
    <t>মাতাঃ খতেজান নেছা</t>
  </si>
  <si>
    <t>১০/১০/১৯৬৭</t>
  </si>
  <si>
    <t>মোঃ আব্দুল কুদ্দুস</t>
  </si>
  <si>
    <t>মোঃ আব্দুল মাবুদ</t>
  </si>
  <si>
    <t>মোছাঃ রাহিমনি খাতুন</t>
  </si>
  <si>
    <t>মোঃ সুলতান হোসেন</t>
  </si>
  <si>
    <t>মোঃ মইনদ্দীন</t>
  </si>
  <si>
    <t>মোছাঃ রাহিমনি</t>
  </si>
  <si>
    <t>উজ্জল হোসেন</t>
  </si>
  <si>
    <t>জমির উদ্দীন</t>
  </si>
  <si>
    <t>মনোয়ারা খাতুন</t>
  </si>
  <si>
    <t>০৬/০৮/১৯৭৯</t>
  </si>
  <si>
    <t>মোঃ মন্টু আলী</t>
  </si>
  <si>
    <t>মোঃ আরজেদ আলী</t>
  </si>
  <si>
    <t>মোছাঃ পারুলা খাতুন</t>
  </si>
  <si>
    <t>২৩/০৮/১৯৮৮</t>
  </si>
  <si>
    <t>মোঃ কামরুজ্জামান</t>
  </si>
  <si>
    <t>১০/০২/১৯৮৯</t>
  </si>
  <si>
    <t>২৩/০৮/১৯৯০</t>
  </si>
  <si>
    <t>মোঃ সেলিম রেজা</t>
  </si>
  <si>
    <t>০১/০১/১৯৮৬</t>
  </si>
  <si>
    <t>মোঃ মিন্টু হোসেন</t>
  </si>
  <si>
    <t>মোঃ পারভেচ আলী</t>
  </si>
  <si>
    <t>মোঃ আশরাফুল ইসলাম</t>
  </si>
  <si>
    <t>মোছাঃ ওহিদুল ইসলাম</t>
  </si>
  <si>
    <t>মোছাঃ রেহেনা খাতুন</t>
  </si>
  <si>
    <t>২৮/১০/১৯৭৬</t>
  </si>
  <si>
    <t>জাহাঙ্গীর</t>
  </si>
  <si>
    <t>মোছাঃ নাজিরা খাতুন</t>
  </si>
  <si>
    <t>মোঃ তৌহিদুল ইসলাম</t>
  </si>
  <si>
    <t>০৮/০৬/১৯৮৯</t>
  </si>
  <si>
    <t>মোঃ মকলেচুর রহমান</t>
  </si>
  <si>
    <t>আত্তাব উদ্দীন</t>
  </si>
  <si>
    <t>১০/০৬/১৯৮৭</t>
  </si>
  <si>
    <t>মোঃ রিপন আলী</t>
  </si>
  <si>
    <t>মোছাঃ চাইনা খাতুন</t>
  </si>
  <si>
    <t>০১/০৩/১৯৮৫</t>
  </si>
  <si>
    <t>মোঃ মহাবুল হক</t>
  </si>
  <si>
    <t>মোছাঃ জয়গুন নেছা</t>
  </si>
  <si>
    <t>০৫/০৩/১৯৮২</t>
  </si>
  <si>
    <t>মোঃ হাসিবুল ইসলাম</t>
  </si>
  <si>
    <t>মোছাঃ ছামেনা খাতুন</t>
  </si>
  <si>
    <t>২৩/০৭/১৯৭৭</t>
  </si>
  <si>
    <t>আঃ সালাম</t>
  </si>
  <si>
    <t>২৫/১২/১৯৮৯</t>
  </si>
  <si>
    <t>মোঃ বজলুল হক</t>
  </si>
  <si>
    <t>১০/১২/১৯৮৭</t>
  </si>
  <si>
    <t>লিয়াকত আলী</t>
  </si>
  <si>
    <t>১০/১১/১৯৮২</t>
  </si>
  <si>
    <t>মোঃ খাইরুল ইসলাম</t>
  </si>
  <si>
    <t>২০/১০/১৯৮১</t>
  </si>
  <si>
    <t>জিনারুল ইসলাম</t>
  </si>
  <si>
    <t>মোছাঃ ফরিদা পারভীন</t>
  </si>
  <si>
    <t>০৫/০৫/১৯৯১</t>
  </si>
  <si>
    <t>মিলন</t>
  </si>
  <si>
    <t>মোঃ আব্দুল হামিদ</t>
  </si>
  <si>
    <t>৩০/১২/১৯৯১</t>
  </si>
  <si>
    <t>মোঃ টোকনউজ্জামান</t>
  </si>
  <si>
    <t>মোছাঃ কোহিনুর খাতুন</t>
  </si>
  <si>
    <t>০৮/১০/১৯৮৫</t>
  </si>
  <si>
    <t>মোহাম্মদ মজিবুল ইসলাম</t>
  </si>
  <si>
    <t>ইসলাম হোসেন</t>
  </si>
  <si>
    <t>০৬/১২/১৯৮৮</t>
  </si>
  <si>
    <t>আকছার আলী</t>
  </si>
  <si>
    <t>আনোয়ারা</t>
  </si>
  <si>
    <t>০১/০২/১৯৮০</t>
  </si>
  <si>
    <t>মোছাঃ ফাহিমা খাতুন</t>
  </si>
  <si>
    <t>০৮/০৯/১৯৮৮</t>
  </si>
  <si>
    <t>মোঃ ইদীস আলী</t>
  </si>
  <si>
    <t>২২/১০/১৯৮৫</t>
  </si>
  <si>
    <t>মোঃ শিমুল রেজা</t>
  </si>
  <si>
    <t>মোছাঃ সালমা পারভীন</t>
  </si>
  <si>
    <t>২৫/০৫/১৯৯১</t>
  </si>
  <si>
    <t>মোঃ টফিজুল ইসলাম</t>
  </si>
  <si>
    <t>২০/০৬/১৯৮৮</t>
  </si>
  <si>
    <t>মোছাঃ আনোয়ারা খাতুন</t>
  </si>
  <si>
    <t>১৬/০৫/১৯৮৫</t>
  </si>
  <si>
    <t>মোঃ কালাম</t>
  </si>
  <si>
    <t>০৯/০৮/১৯৮৪</t>
  </si>
  <si>
    <t>মালি</t>
  </si>
  <si>
    <t>মোঃ ময়নাল উদ্দীন</t>
  </si>
  <si>
    <t>মোঃ আব্দুল মোতালেব</t>
  </si>
  <si>
    <t>মাতাঃ নিবাছন নেছা</t>
  </si>
  <si>
    <t>২০/০৬/১৯৭৯</t>
  </si>
  <si>
    <t>আক্তারুজ্জামান</t>
  </si>
  <si>
    <t>কলিমুদ্দীন</t>
  </si>
  <si>
    <t>মোছাঃ আক্তারুন নাহার</t>
  </si>
  <si>
    <t>৩০/০৫/১৯৮৯</t>
  </si>
  <si>
    <t>মোঃ ইয়ার আলী</t>
  </si>
  <si>
    <t>মোঃ জালাল উদ্দিন</t>
  </si>
  <si>
    <t>মোছাঃ সহুরা খাতুন</t>
  </si>
  <si>
    <t>২৮/০৮/১৯৮৫</t>
  </si>
  <si>
    <t>মোঃ বদরুল আলম</t>
  </si>
  <si>
    <t>মোঃ আজাদ মন্ডল</t>
  </si>
  <si>
    <t>২০/০৫/১৯৭৬</t>
  </si>
  <si>
    <t>মোঃ ইখলাচ</t>
  </si>
  <si>
    <t>মোছাঃ আলতা খাতুন</t>
  </si>
  <si>
    <t>০৫/০৮/১৯৯০</t>
  </si>
  <si>
    <t>এমদাদুল হক</t>
  </si>
  <si>
    <t>০১/০১/১৯৭৭</t>
  </si>
  <si>
    <t>ড্রাইভার</t>
  </si>
  <si>
    <t>মোঃ সফিকুল ইসলাম</t>
  </si>
  <si>
    <t>১৫/০৬/১৯৮৬</t>
  </si>
  <si>
    <t>মোঃ সদর আলী</t>
  </si>
  <si>
    <t>মজুবার শেখ</t>
  </si>
  <si>
    <t>আবেদা খাতুন</t>
  </si>
  <si>
    <t>১০/১০/১৯৫২</t>
  </si>
  <si>
    <t>মোঃ সদর আলি</t>
  </si>
  <si>
    <t>মোছাঃ সুন্দরী খাতুন</t>
  </si>
  <si>
    <t>০৫/০৪/১৯৮৩</t>
  </si>
  <si>
    <t>শ্রী অরবিন্দ কুমার দাস</t>
  </si>
  <si>
    <t>সূর্য কুমার দাস</t>
  </si>
  <si>
    <t>শ্রীমতি নুনবালা</t>
  </si>
  <si>
    <t>০৪/০৫/১৯৬০</t>
  </si>
  <si>
    <t>মোঃ বরকত আলী</t>
  </si>
  <si>
    <t>শাহাদাৎ হোসেন</t>
  </si>
  <si>
    <t>মাতাঃ টলো খাতুন</t>
  </si>
  <si>
    <t>১০/০৬/১৯৭২</t>
  </si>
  <si>
    <t>মোঃ ওয়ারিশ আলী</t>
  </si>
  <si>
    <t>দিল মোহাম্মদ</t>
  </si>
  <si>
    <t>নেছারুন বিবি</t>
  </si>
  <si>
    <t>৩০/১০/১৯৮০</t>
  </si>
  <si>
    <t>মিলন হোসেন</t>
  </si>
  <si>
    <t>০৪/০৮/১৯৯২</t>
  </si>
  <si>
    <t>মোঃ শাহাজামাল হোসেন</t>
  </si>
  <si>
    <t>০২/০১/১৯৯২</t>
  </si>
  <si>
    <t>মোঃ সেকেন্দার</t>
  </si>
  <si>
    <t>১০/১২/১৯৯২</t>
  </si>
  <si>
    <t>আব্দুল মাবুদ</t>
  </si>
  <si>
    <t>আকবর আলী</t>
  </si>
  <si>
    <t>রাশিদা</t>
  </si>
  <si>
    <t>০৩/১২/১৯৯৩</t>
  </si>
  <si>
    <t>মোঃ মকছেদ আলী</t>
  </si>
  <si>
    <t>মোঃ আসাদুল হক</t>
  </si>
  <si>
    <t>মোছাঃ মমিনা খাতুন</t>
  </si>
  <si>
    <t>২৩/০৬/১৯৯৩</t>
  </si>
  <si>
    <t>মোঃ রাজিবুল ইসলাম</t>
  </si>
  <si>
    <t>মোঃ আঃ সাত্তার হোসেন</t>
  </si>
  <si>
    <t>মোছাঃ রসিদা খাতুন</t>
  </si>
  <si>
    <t>১৪/০৮/১৯৯৪</t>
  </si>
  <si>
    <t>মোঃ মুকুল হোসেন</t>
  </si>
  <si>
    <t>শহিদুল ইসলাম</t>
  </si>
  <si>
    <t>মোছাঃ সিয়াতন নেছা</t>
  </si>
  <si>
    <t>২০/০৬/১৯৯৪</t>
  </si>
  <si>
    <t>মোঃ মিঠুন আলী</t>
  </si>
  <si>
    <t>মোছাঃ বুরবুলি খাতুন</t>
  </si>
  <si>
    <t>মোঃ আশিকুর রহমান সুজন</t>
  </si>
  <si>
    <t>১৮/১০/১৯৯৪</t>
  </si>
  <si>
    <t>কামাল হোসেন</t>
  </si>
  <si>
    <t>মোছাঃ রওশনারা</t>
  </si>
  <si>
    <t>০৮/০৭/১৯৭৪</t>
  </si>
  <si>
    <t>মোঃ হুসাইন আলী</t>
  </si>
  <si>
    <t>২০/০৬/১৯৯০</t>
  </si>
  <si>
    <t>মোঃ মোস্তফা আলী</t>
  </si>
  <si>
    <t>হামিদুল আলী</t>
  </si>
  <si>
    <t>মোছাঃ মেহেরনিকা খাতুন</t>
  </si>
  <si>
    <t>০৮/১০/১৯৭৪</t>
  </si>
  <si>
    <t>প্রবাসী</t>
  </si>
  <si>
    <t>মোছাঃ জানজিরা খাতুন</t>
  </si>
  <si>
    <t>০৮/০৯/১৯৯৪</t>
  </si>
  <si>
    <t>মোছাঃ রাশিরা খাতুন</t>
  </si>
  <si>
    <t>০১/০৫/১৯৯৫</t>
  </si>
  <si>
    <t>সেলিম হোসেন</t>
  </si>
  <si>
    <t>মোঃ কাউসার আলী</t>
  </si>
  <si>
    <t>১৮/১০/১৯৯২</t>
  </si>
  <si>
    <t>শাহীন রেজা</t>
  </si>
  <si>
    <t>২৫/০৫/১৯৮৯</t>
  </si>
  <si>
    <t>কুদুস আলী</t>
  </si>
  <si>
    <t>মোছাঃ জোহরা খাতুন</t>
  </si>
  <si>
    <t>২৫/১০/১৯৮৮</t>
  </si>
  <si>
    <t>মোঃ ইমরান হোসেন</t>
  </si>
  <si>
    <t>রেহেনা খাতুন</t>
  </si>
  <si>
    <t>১০/১০/১৯৯২</t>
  </si>
  <si>
    <t>উজ্জল</t>
  </si>
  <si>
    <t>০৪/০৩/১৯৮৮</t>
  </si>
  <si>
    <t>প্রবাসি</t>
  </si>
  <si>
    <t>মোছাঃ জুলেজান খাতুন</t>
  </si>
  <si>
    <t>মোঃ সাজ্জাদ হোসেন</t>
  </si>
  <si>
    <t>মোঃ জব্বার আলী</t>
  </si>
  <si>
    <t>মোছাঃ জুলেখা খাতুন</t>
  </si>
  <si>
    <t>১৮/০৫/১৯৯৫</t>
  </si>
  <si>
    <t>মামুন</t>
  </si>
  <si>
    <t>মোছাঃ ফরিদা খাতুন</t>
  </si>
  <si>
    <t>ইফতেখার আহমেদ</t>
  </si>
  <si>
    <t>মোছাঃ শিউলী খাতুন</t>
  </si>
  <si>
    <t>০১/১০/১৯৯৪</t>
  </si>
  <si>
    <t>২৮/০৩/১৯৭৬</t>
  </si>
  <si>
    <t>মোঃ আব্দুল রাজ্জাক</t>
  </si>
  <si>
    <t>মোছাঃ শিউলি আরা</t>
  </si>
  <si>
    <t>১৫/০৩/১৯৮৯</t>
  </si>
  <si>
    <t>মোঃ লিটন হোসেন</t>
  </si>
  <si>
    <t>০২/১২/১৯৮৮</t>
  </si>
  <si>
    <t>মোহাম্মাদ রাশিদুল ইসলাম</t>
  </si>
  <si>
    <t>মোহাম্মাদ সমির উদ্দীন</t>
  </si>
  <si>
    <t>রশিদা খাতুন</t>
  </si>
  <si>
    <t>২৫/০৬/১৯৮৯</t>
  </si>
  <si>
    <t>মোঃ ছলিমুদ্দিন</t>
  </si>
  <si>
    <t>০৮/১০/১৯৯৩</t>
  </si>
  <si>
    <t>১২/১১/১৯৯৪</t>
  </si>
  <si>
    <t>মোঃ মোহাদ্দেস আলী</t>
  </si>
  <si>
    <t>০৪/০৫/১৯৯৫</t>
  </si>
  <si>
    <t>মহিবুল ইসলাম</t>
  </si>
  <si>
    <t>শরিফ উদ্দিন</t>
  </si>
  <si>
    <t>মরিয়ম</t>
  </si>
  <si>
    <t>১০/০৫/১৯৮৯</t>
  </si>
  <si>
    <t>মোঃ ইবাদুর রহমান</t>
  </si>
  <si>
    <t>০৩/০৮/১৯৯৭</t>
  </si>
  <si>
    <t>মানিক</t>
  </si>
  <si>
    <t>আব্দুল মজিদ</t>
  </si>
  <si>
    <t>মোছাঃ রওশনারা আরা</t>
  </si>
  <si>
    <t>১৩/০৪/১৯৮৯</t>
  </si>
  <si>
    <t>মোঃ শাহ জামাল</t>
  </si>
  <si>
    <t>খোশজান</t>
  </si>
  <si>
    <t>০৫/১০/১৯৯৭</t>
  </si>
  <si>
    <t>রাকিব</t>
  </si>
  <si>
    <t>খোকন</t>
  </si>
  <si>
    <t>ডলিয়ার</t>
  </si>
  <si>
    <t>১০/০৬/১৯৯৭</t>
  </si>
  <si>
    <t>মোঃ মইনুল হোসেন</t>
  </si>
  <si>
    <t>মোছাঃ মেহেরুন নেছা</t>
  </si>
  <si>
    <t>নাজমুল</t>
  </si>
  <si>
    <t>আইয়ুব</t>
  </si>
  <si>
    <t>নাছিমা</t>
  </si>
  <si>
    <t>১৫/০১/১৯৯২</t>
  </si>
  <si>
    <t>মোঃ মারুফ হোসেন</t>
  </si>
  <si>
    <t>মোছাঃ রমেছা বেগম</t>
  </si>
  <si>
    <t>১০/০৩/১৯৯৫</t>
  </si>
  <si>
    <t>মোঃ সাহাবুল ইসলাম</t>
  </si>
  <si>
    <t>ফেরদোস</t>
  </si>
  <si>
    <t>কহিনুর</t>
  </si>
  <si>
    <t>০৮/০৬/১৯৮১</t>
  </si>
  <si>
    <t>মোঃ ফজলে রাব্বি</t>
  </si>
  <si>
    <t>মোছাঃ গুলশানারা খাতুন</t>
  </si>
  <si>
    <t>০৯/০৬/১৯৯৭</t>
  </si>
  <si>
    <t>মোছাঃ ছুনুয়ারা খাতুন</t>
  </si>
  <si>
    <t>০৩/০৮/১৯৯৫</t>
  </si>
  <si>
    <t>মোঃ আয়ুব আলি</t>
  </si>
  <si>
    <t>মাঃ কহিনুর খাতুন</t>
  </si>
  <si>
    <t>১৫/০৬/১৯৮২</t>
  </si>
  <si>
    <t>বিপ্লব হোসেন</t>
  </si>
  <si>
    <t>১৫/০৭/১৯৯৬</t>
  </si>
  <si>
    <t>মোঃ ইখলাচ হোসেন</t>
  </si>
  <si>
    <t>০৮/০৯/১৯৯৭</t>
  </si>
  <si>
    <t>১৮/০৭/১৯৯৬</t>
  </si>
  <si>
    <t>মোছাঃ উজিলা খাতুন</t>
  </si>
  <si>
    <t>০৮/০৯/১৯৯৬</t>
  </si>
  <si>
    <t>মোঃ মিলন আলী</t>
  </si>
  <si>
    <t>মোঃ হাসিবুল</t>
  </si>
  <si>
    <t>মাতাঃ নুরজাহান</t>
  </si>
  <si>
    <t>২৫/০৮/১৯৯১</t>
  </si>
  <si>
    <t>২০/০৬/১৯৯৭</t>
  </si>
  <si>
    <t>মোছাঃ সরলা খাতুন</t>
  </si>
  <si>
    <t>০৪/০৭/১৯৯১</t>
  </si>
  <si>
    <t>২০/০৬/১৯৯২</t>
  </si>
  <si>
    <t>মোঃ ইয়াসির আরাফাত</t>
  </si>
  <si>
    <t>নুরুন্নাহার খাতুন</t>
  </si>
  <si>
    <t>০১/১১/১৯৯৭</t>
  </si>
  <si>
    <t>জসিম উদ্দীন</t>
  </si>
  <si>
    <t>মোঃ মফিজা আলী</t>
  </si>
  <si>
    <t>রাসিদা খাতুন</t>
  </si>
  <si>
    <t>০৪/০৩/১৯৯৭</t>
  </si>
  <si>
    <t>মোঃ মুসা উদ্দিন</t>
  </si>
  <si>
    <t>রওশন আরা</t>
  </si>
  <si>
    <t>১৮/১০/১৯৮২</t>
  </si>
  <si>
    <t>মোঃ কালাম হোসেন</t>
  </si>
  <si>
    <t>মোছাঃ মুরশিদা খাতুন</t>
  </si>
  <si>
    <t>০৬/০১/১৯৮৭</t>
  </si>
  <si>
    <t>মোঃ তৌহিদ ইসলাম</t>
  </si>
  <si>
    <t>আমজাদ হোসেন</t>
  </si>
  <si>
    <t>তহুরা খাতুন</t>
  </si>
  <si>
    <t>০৪/০৫/১৯৯৬</t>
  </si>
  <si>
    <t>মোঃ শিমুল</t>
  </si>
  <si>
    <t>মোঃ সামছুল হক</t>
  </si>
  <si>
    <t>২০/০৮/১৯৯২</t>
  </si>
  <si>
    <t>মোঃ আব্দুল করিম</t>
  </si>
  <si>
    <t>০৩/০১/১৯৯৫</t>
  </si>
  <si>
    <t>মোঃ ইকরামুল হক</t>
  </si>
  <si>
    <t>২০/০৬/১৯৯৫</t>
  </si>
  <si>
    <t>রানা আহমদ</t>
  </si>
  <si>
    <t>মোঃ কোরবান আলী</t>
  </si>
  <si>
    <t>মোছাঃ ফরিদা বেগম</t>
  </si>
  <si>
    <t>০৮/০৬/১৯৮০</t>
  </si>
  <si>
    <t>মোঃ হেলাল উদ্দীন</t>
  </si>
  <si>
    <t>মোঃ আঃ আলা উদ্দিন</t>
  </si>
  <si>
    <t>মোছাঃ সেলিনা খাতুন</t>
  </si>
  <si>
    <t>১০/০১/১৯৯৬</t>
  </si>
  <si>
    <t>মোঃ শুকুর আলী</t>
  </si>
  <si>
    <t>মোঃ ইসলাম মল্লিক</t>
  </si>
  <si>
    <t>২০/১০/১৯৯৬</t>
  </si>
  <si>
    <t>চঞ্চল</t>
  </si>
  <si>
    <t>মোঃ জাহাঙ্গীর আলী</t>
  </si>
  <si>
    <t>মোছাঃ আলিফা খাতুন</t>
  </si>
  <si>
    <t>২৭/০৪/১৯৯০</t>
  </si>
  <si>
    <t>মোঃ ওহাব আলী</t>
  </si>
  <si>
    <t>মোছাঃ উমুরা খাতুন</t>
  </si>
  <si>
    <t>০২/০৬/১৯৯৪</t>
  </si>
  <si>
    <t>মোসাঃ আছিয়া খাতুন</t>
  </si>
  <si>
    <t>০৬/১১/১৯৮৭</t>
  </si>
  <si>
    <t>১২৭৮, মহিষাখোলা, গাংনী, মেহেরপুর</t>
  </si>
  <si>
    <t>মোঃ আমিন খান</t>
  </si>
  <si>
    <t>মোঃ আব্দুল ওয়াদুদ</t>
  </si>
  <si>
    <t>০৭/১০/১৯৯৮</t>
  </si>
  <si>
    <t>মোহাঃ উবাইদুর রহমান</t>
  </si>
  <si>
    <t>মোঃ জাকিরুল</t>
  </si>
  <si>
    <t>মোছাঃ উমোরা খাতুন</t>
  </si>
  <si>
    <t>২০/০৬/১৯৯৬</t>
  </si>
  <si>
    <t>২০/০৪/১৯৯৮</t>
  </si>
  <si>
    <t>রাকিবুল</t>
  </si>
  <si>
    <t>আঃ ইসরাফিল</t>
  </si>
  <si>
    <t>মোছাঃ নাছিমা খাতুন</t>
  </si>
  <si>
    <t>২৮/০৬/১৯৮৯</t>
  </si>
  <si>
    <t>কামাল</t>
  </si>
  <si>
    <t>০২/০৬/১৯৯২</t>
  </si>
  <si>
    <t>মোঃ মফিজুল হক</t>
  </si>
  <si>
    <t>মোঃ মোস্তফা</t>
  </si>
  <si>
    <t>মোছাঃ রশিদা খাতুন</t>
  </si>
  <si>
    <t>০৮/১০/১৯৯৮</t>
  </si>
  <si>
    <t>বরকতউল্লাহ</t>
  </si>
  <si>
    <t>সানাউল্লাহ</t>
  </si>
  <si>
    <t>ফাতিমা খাতুন</t>
  </si>
  <si>
    <t>২৮/০৩/১৯৯৮</t>
  </si>
  <si>
    <t>মোঃ মিলন হোসেন</t>
  </si>
  <si>
    <t>মোছাঃ শেফালী খাতুন</t>
  </si>
  <si>
    <t>২০/০৬/১৯৯৮</t>
  </si>
  <si>
    <t>মোঃ আব্দুল গনি</t>
  </si>
  <si>
    <t>১৪/০৭/১৯৯৬</t>
  </si>
  <si>
    <t>সজিব আহমেদ</t>
  </si>
  <si>
    <t>মোছাঃ শাহিনা খাতুন</t>
  </si>
  <si>
    <t>১৫/০৩/১৯৯৮</t>
  </si>
  <si>
    <t>আসকর আলী</t>
  </si>
  <si>
    <t>হাজিরন নেছা</t>
  </si>
  <si>
    <t>২২/০১/১৯৭০</t>
  </si>
  <si>
    <t>মোঃ মামুন হোসেন</t>
  </si>
  <si>
    <t>মোঃ মহাতাব আলী</t>
  </si>
  <si>
    <t>০৬/০৫/১৯৮৬</t>
  </si>
  <si>
    <t>মোঃ রজ্জব আলী</t>
  </si>
  <si>
    <t>মোঃ ইদ্রীস আলী</t>
  </si>
  <si>
    <t>মোছাঃ আশরাফন নেছা</t>
  </si>
  <si>
    <t>০৮/০৯/১৯৯৯</t>
  </si>
  <si>
    <t>মোঃ আলমগীর হোসেন</t>
  </si>
  <si>
    <t>মোঃ আবু বক্কর ছিদ্দিক</t>
  </si>
  <si>
    <t>মোছাঃ রওশনাারা</t>
  </si>
  <si>
    <t>২৫/০৬/১৯৯৯</t>
  </si>
  <si>
    <t>মোছাঃ মরিয়ম</t>
  </si>
  <si>
    <t>১৫/১০/১৯৯৯</t>
  </si>
  <si>
    <t>আল আমিন আলফাজ</t>
  </si>
  <si>
    <t>শাহাতুল্লাহ মন্ডল</t>
  </si>
  <si>
    <t>রজনা খাতুন</t>
  </si>
  <si>
    <t>০৬/০১/১৯৯৯</t>
  </si>
  <si>
    <t>মোঃ হাবিবুর রহমান</t>
  </si>
  <si>
    <t>মোছাঃ জান্নাতুল</t>
  </si>
  <si>
    <t>২০/০৬/১৯৯৯</t>
  </si>
  <si>
    <t>আলফাজ মোমিন তোতা</t>
  </si>
  <si>
    <t>মোছাঃ আমেনা বেগম</t>
  </si>
  <si>
    <t>২০/০৭/১৯৯৯</t>
  </si>
  <si>
    <t>তুষার আলী</t>
  </si>
  <si>
    <t>মোঃ সফিরুল ইসলাম</t>
  </si>
  <si>
    <t>মোছাঃ তহিরন নেছা</t>
  </si>
  <si>
    <t>হুমায়ন কবির</t>
  </si>
  <si>
    <t>ছানোয়ার হোসেন</t>
  </si>
  <si>
    <t>সামসুন্নাহার</t>
  </si>
  <si>
    <t>১৭/০৫/১৯৯৯</t>
  </si>
  <si>
    <t>মোঃ লিখন আলী</t>
  </si>
  <si>
    <t>মোছাঃ বুলবুলি খাতুন</t>
  </si>
  <si>
    <t>মোছাঃ মহিমা খাতুন</t>
  </si>
  <si>
    <t>০৪/০৩/১৯৯৪</t>
  </si>
  <si>
    <t>সোহেল রানা</t>
  </si>
  <si>
    <t>মজ্জেম আলী</t>
  </si>
  <si>
    <t>রহিমা খাতুন</t>
  </si>
  <si>
    <t>০২/০৩/১৯৯৭</t>
  </si>
  <si>
    <t>উত্তর পাড়া, মহিষাখোলা, গাংনী, মেহেরপুর</t>
  </si>
  <si>
    <t>মোঃ সাদেক আলী</t>
  </si>
  <si>
    <t>মোছাঃ হাচেনা খাতুন</t>
  </si>
  <si>
    <t>০৫/১২/১৯৮২</t>
  </si>
  <si>
    <t>উত্তরপাড়া, মহিষাখোলা, গাংনী, মেহেরপুর</t>
  </si>
  <si>
    <t>আল আমিন আলী</t>
  </si>
  <si>
    <t>ইদিস আলী</t>
  </si>
  <si>
    <t>রেখা খাতুন</t>
  </si>
  <si>
    <t>০৮/১১/১৯৯৭</t>
  </si>
  <si>
    <t>মধ্য পাড়া, মহিষাখোলা, গাংনী, মেহেরপুর</t>
  </si>
  <si>
    <t>মোহাম্মাদ রাজিবুল ইসলাম</t>
  </si>
  <si>
    <t>মোহাম্মাদ মিজানুর রহমান</t>
  </si>
  <si>
    <t>১০/০৫/১৯৯১</t>
  </si>
  <si>
    <t>মাঝের পাড়া, মহিষাখোলা, গাংনী, মেহেরপুর</t>
  </si>
  <si>
    <t>ভাষান আলী</t>
  </si>
  <si>
    <t>ফয়জল ইসলাম</t>
  </si>
  <si>
    <t>জামেনা খাতুন</t>
  </si>
  <si>
    <t>০৪/০৫/১৯৯২</t>
  </si>
  <si>
    <t>ইবাদত হোসেন</t>
  </si>
  <si>
    <t>মোছাঃ আরজিয়া খাতুন</t>
  </si>
  <si>
    <t>২০/০৭/১৯৭৮</t>
  </si>
  <si>
    <t>মহাম্মদ ইনসারুল ইসলাম</t>
  </si>
  <si>
    <t>আকরাম আলী</t>
  </si>
  <si>
    <t>রাবেয়া খাতুন</t>
  </si>
  <si>
    <t>০২/০৫/১৯৭৯</t>
  </si>
  <si>
    <t>০৫/১২/১৯৮৫</t>
  </si>
  <si>
    <t>মোঃ শাহেদ আলী</t>
  </si>
  <si>
    <t>মৃত আনারুল</t>
  </si>
  <si>
    <t>মৃত ডলি খাতুন</t>
  </si>
  <si>
    <t>স্কুলপাড়া, মহিষাখোলা, গাংনী, মেহেরপুর</t>
  </si>
  <si>
    <t>মোঃ সাজিদুল ইসলাম</t>
  </si>
  <si>
    <t>১৬/০৪/১৯৯৮</t>
  </si>
  <si>
    <t>মোঃ আশাদুজ্জামান</t>
  </si>
  <si>
    <t>মোঃ শবির উদ্দিন</t>
  </si>
  <si>
    <t>জামেনা</t>
  </si>
  <si>
    <t>০৪/০৭/১৯৯৯</t>
  </si>
  <si>
    <t>রিন্টু আলী</t>
  </si>
  <si>
    <t>রমজান আলী</t>
  </si>
  <si>
    <t>মাসেরো খাতুন</t>
  </si>
  <si>
    <t>১৩/০৪/১৯৯৯</t>
  </si>
  <si>
    <t>আব্দুল কুদ্দুস</t>
  </si>
  <si>
    <t>হায়াত মন্ডল</t>
  </si>
  <si>
    <t>মোছাঃ চুরাতন খাতুন</t>
  </si>
  <si>
    <t>২৭/০৪/১৯৬৪</t>
  </si>
  <si>
    <t>আলমগীর হোসেন</t>
  </si>
  <si>
    <t>আল্লাহী খাতুন</t>
  </si>
  <si>
    <t>০৯/১০/১৯৯৭</t>
  </si>
  <si>
    <t>শাহরুল ইসলাম</t>
  </si>
  <si>
    <t>মোছাঃ খোশজান নেছা</t>
  </si>
  <si>
    <t>১৮/০১/১৯৮১</t>
  </si>
  <si>
    <t>রাশিদুল</t>
  </si>
  <si>
    <t>ওহিদুল</t>
  </si>
  <si>
    <t>০৪/০৫/১৯৭৫</t>
  </si>
  <si>
    <t>১৩১৯, মহিষাখোলা, গাংনী, মেহেরপুর</t>
  </si>
  <si>
    <t>মোঃ আশিক হোসাইন</t>
  </si>
  <si>
    <t>মোঃ আলতাব হোসাইন</t>
  </si>
  <si>
    <t>মোছাঃ লতা খাতুন</t>
  </si>
  <si>
    <t>০৮/০৩/২০০৩</t>
  </si>
  <si>
    <t>মোঃ রাকিব হোসেন</t>
  </si>
  <si>
    <t>মোছাঃ মোমেনা খাতুন</t>
  </si>
  <si>
    <t>২৫/০৬/২০০০</t>
  </si>
  <si>
    <t>মোঃ সোহেল রানা</t>
  </si>
  <si>
    <t>মোছাঃ ফেরদৌসী আরা</t>
  </si>
  <si>
    <t>০৬/০২/১৯৯৬</t>
  </si>
  <si>
    <t>১৫/০১/২০০১</t>
  </si>
  <si>
    <t>মোঃ মিলাদ আলী</t>
  </si>
  <si>
    <t>মৃত আমেনা বেগম</t>
  </si>
  <si>
    <t>০৫/০৩/১৯৯৫</t>
  </si>
  <si>
    <t>মোঃ সুজন আলী</t>
  </si>
  <si>
    <t>মিরাজুল ইসলাম</t>
  </si>
  <si>
    <t>মৃত সেফালী খাতুন</t>
  </si>
  <si>
    <t>০১/০১/১৯৯৭</t>
  </si>
  <si>
    <t>জামাল উদ্দীন</t>
  </si>
  <si>
    <t>শরিফুল ইসলাম</t>
  </si>
  <si>
    <t>মিনারা খাতুন</t>
  </si>
  <si>
    <t>০৪/০১/২০০১</t>
  </si>
  <si>
    <t>আকরামুল ইসলাম</t>
  </si>
  <si>
    <t>জালাল উদ্দিন</t>
  </si>
  <si>
    <t>সোহরা খাতুন</t>
  </si>
  <si>
    <t>০২/০১/১৯৮৮</t>
  </si>
  <si>
    <t>মোঃ আঃ হাদী</t>
  </si>
  <si>
    <t>মোঃ শমির আলী</t>
  </si>
  <si>
    <t>মোছাঃ লিপিয়ার</t>
  </si>
  <si>
    <t>০৪/০৩/২০০২</t>
  </si>
  <si>
    <t>মোঃ আবু বায়েজিদ</t>
  </si>
  <si>
    <t>মোঃ আসিকুর রহমান</t>
  </si>
  <si>
    <t>মোছাঃ চায়না খাতুন</t>
  </si>
  <si>
    <t>০৮/০৬/১৯৯২</t>
  </si>
  <si>
    <t>ফারুক হোসেন</t>
  </si>
  <si>
    <t>আব্দুর রাজ্জাক</t>
  </si>
  <si>
    <t>জুবাইদা খাতুন</t>
  </si>
  <si>
    <t>০৯/০২/২০০১</t>
  </si>
  <si>
    <t>মোঃ আব্দুল্লাহ আলী</t>
  </si>
  <si>
    <t>মোছাঃ রহিমা</t>
  </si>
  <si>
    <t>০৫/০৬/১৯৮৫</t>
  </si>
  <si>
    <t>মোঃ জাহিদ হাসান</t>
  </si>
  <si>
    <t>২৫/১১/১৯৯৬</t>
  </si>
  <si>
    <t>মোঃ ফয়সাল আহমেদ</t>
  </si>
  <si>
    <t>২১/১২/২০০১</t>
  </si>
  <si>
    <t>রাজু</t>
  </si>
  <si>
    <t>চুবদা খাতুন</t>
  </si>
  <si>
    <t>০৩/০৫/১৯৮২</t>
  </si>
  <si>
    <t>মাহফুজুর রহমান সৃজন</t>
  </si>
  <si>
    <t>আমিরুল ইসলাম</t>
  </si>
  <si>
    <t>চাইনা খাতুন</t>
  </si>
  <si>
    <t>১০/০৫/২০০৩</t>
  </si>
  <si>
    <t>মোঃ রাকিবুল হোসেন</t>
  </si>
  <si>
    <t>মোছাঃ বেলী খাতুন</t>
  </si>
  <si>
    <t>১০/১২/২০০১</t>
  </si>
  <si>
    <t>কামরুল</t>
  </si>
  <si>
    <t>ইদুকুল ইসলাম</t>
  </si>
  <si>
    <t>কাবিরন খাতুন</t>
  </si>
  <si>
    <t>২৫/০৮/১৯৯৩</t>
  </si>
  <si>
    <t>মোহাঃ মমিনুর রহমান</t>
  </si>
  <si>
    <t>শরিফা খাতুন</t>
  </si>
  <si>
    <t>১০/০৯/২০০৩</t>
  </si>
  <si>
    <t>মোঃ তুষার আব্দুল্লাহ</t>
  </si>
  <si>
    <t>মোছাঃ তাজিনা খাতুন</t>
  </si>
  <si>
    <t>৩১/১২/২০০২</t>
  </si>
  <si>
    <t>-০, মহিষাখোলা, গাংনী, মেহেরপুর</t>
  </si>
  <si>
    <t>মোঃ নাহিদ হাসান</t>
  </si>
  <si>
    <t>০৫/০২/২০০২</t>
  </si>
  <si>
    <t>শরীফ</t>
  </si>
  <si>
    <t>মৃত দিদার বিশ্বাস</t>
  </si>
  <si>
    <t>নাসিমন নেছা</t>
  </si>
  <si>
    <t>০১/০৪/১৯৭৮</t>
  </si>
  <si>
    <t>মোঃ পাপ্পু মান্না রাজ</t>
  </si>
  <si>
    <t>২০/০৬/২০০১</t>
  </si>
  <si>
    <t>আখলাক হোসেন</t>
  </si>
  <si>
    <t>আরজুল্লাহ</t>
  </si>
  <si>
    <t>০৯/০৯/২০০২</t>
  </si>
  <si>
    <t>২২/০৬/২০০০</t>
  </si>
  <si>
    <t>মোছাঃ রওশনাারা খাতুন</t>
  </si>
  <si>
    <t>১৫/০৬/২০০১</t>
  </si>
  <si>
    <t>মোঃ সাহারুল ইসলাম</t>
  </si>
  <si>
    <t>জুলহাসন</t>
  </si>
  <si>
    <t>মোছাঃ শাহানারা খাতুন</t>
  </si>
  <si>
    <t>মোঃ ইব্রাহিম খলিল উল্লাহ</t>
  </si>
  <si>
    <t>তরিকুল</t>
  </si>
  <si>
    <t>বাধীনা</t>
  </si>
  <si>
    <t>০৮/০২/২০০২</t>
  </si>
  <si>
    <t>এজাজ আহম্মেদ</t>
  </si>
  <si>
    <t>রবিউল ইসলাম</t>
  </si>
  <si>
    <t>মোঃ মিনহাজুল আবেদিন নামু</t>
  </si>
  <si>
    <t>মোঃ রেজাউল</t>
  </si>
  <si>
    <t>মোছাঃ আবেদা</t>
  </si>
  <si>
    <t>মোঃ সাগর</t>
  </si>
  <si>
    <t>মোছাঃ মিনারা খাতুন</t>
  </si>
  <si>
    <t>২৮/০৫/২০০১</t>
  </si>
  <si>
    <t>রিদয় আক্তার</t>
  </si>
  <si>
    <t>বাবুল আক্তার</t>
  </si>
  <si>
    <t>রেহেনা আক্তার</t>
  </si>
  <si>
    <t>০১/০৩/১৯৯০</t>
  </si>
  <si>
    <t>বাবুর আলী</t>
  </si>
  <si>
    <t>২০/০৭/২০০১</t>
  </si>
  <si>
    <t>মোঃ ইসরাফিল ইসলাম</t>
  </si>
  <si>
    <t>০৮/০৩/১৯৯৭</t>
  </si>
  <si>
    <t>জাহিদ হাসান</t>
  </si>
  <si>
    <t>মোছাঃ জগোতারা খাতুন</t>
  </si>
  <si>
    <t>২৫/০৮/২০০১</t>
  </si>
  <si>
    <t>মোঃ দুলাল হোসেন</t>
  </si>
  <si>
    <t>মৃত নজরুল</t>
  </si>
  <si>
    <t>মোছাঃ মুরশিদা</t>
  </si>
  <si>
    <t>মোঃ রায়হান উদ্দীন</t>
  </si>
  <si>
    <t>০৮/০১/২০০০</t>
  </si>
  <si>
    <t>মোঃ আব্দুল কাদের</t>
  </si>
  <si>
    <t>নিহাজ উদ্দীন</t>
  </si>
  <si>
    <t>সালেহা খাতুন</t>
  </si>
  <si>
    <t>০৬/০৯/১৯৯৫</t>
  </si>
  <si>
    <t>মোঃ তরিকুল</t>
  </si>
  <si>
    <t>মোছাঃ স্বাধীনা খাতুন</t>
  </si>
  <si>
    <t>মোঃ সালাম হোসেন</t>
  </si>
  <si>
    <t>শাজাহান</t>
  </si>
  <si>
    <t>রাশেদা খাতুন</t>
  </si>
  <si>
    <t>০১/০১/২০০১</t>
  </si>
  <si>
    <t>মোঃ তিতাস হোসেন</t>
  </si>
  <si>
    <t>মোঃ সেকেন্দার শেখ</t>
  </si>
  <si>
    <t>০৮/১০/১৯৯৬</t>
  </si>
  <si>
    <t>মোঃ শাহাদত হোসেন</t>
  </si>
  <si>
    <t>মোঃ শাহাজান হোসেন</t>
  </si>
  <si>
    <t>মোছাঃ রাশিদা খাতুন</t>
  </si>
  <si>
    <t>১৬/১১/২০০১</t>
  </si>
  <si>
    <t>মোঃ শিমুল হোসেন</t>
  </si>
  <si>
    <t>তোফাজ্জেল</t>
  </si>
  <si>
    <t>শেফালী</t>
  </si>
  <si>
    <t>১০/০৭/২০০১</t>
  </si>
  <si>
    <t>মোঃ আবু সাইদ</t>
  </si>
  <si>
    <t>সহুরা খাতুন</t>
  </si>
  <si>
    <t>১৪/০২/২০০০</t>
  </si>
  <si>
    <t>মোছাঃ রঞ্জনা খাতুন</t>
  </si>
  <si>
    <t>০২/০৯/১৯৮৮</t>
  </si>
  <si>
    <t>ইকাদুল ইসলাম</t>
  </si>
  <si>
    <t>নিম জান</t>
  </si>
  <si>
    <t>১০/০৮/১৯৭৫</t>
  </si>
  <si>
    <t>আরিফুল ইসলাম</t>
  </si>
  <si>
    <t>মরজেম হোসেন</t>
  </si>
  <si>
    <t>রাহিমা খাতুন</t>
  </si>
  <si>
    <t>১৫/০৭/১৯৭৮</t>
  </si>
  <si>
    <t>মোঃ উবাইদুল্লাহ ইসলাম অরূপ</t>
  </si>
  <si>
    <t>মৃত নুরুল ইসলাম</t>
  </si>
  <si>
    <t>মালা খাতুন</t>
  </si>
  <si>
    <t>১০/০৯/২০০২</t>
  </si>
  <si>
    <t>মহিষাখোলা, মহিষাখোলা, গাংনী, মেহেরপুর</t>
  </si>
  <si>
    <t>নাজমুল হুদা</t>
  </si>
  <si>
    <t>কল্পনা খাতুন</t>
  </si>
  <si>
    <t>১৮/১২/১৯৭৮</t>
  </si>
  <si>
    <t>কুতুব উদ্দিন</t>
  </si>
  <si>
    <t>নজের আলী</t>
  </si>
  <si>
    <t>মেহেন নিগা</t>
  </si>
  <si>
    <t>১৫/১১/১৯৭৫</t>
  </si>
  <si>
    <t>০২/০২/১৯৯৫</t>
  </si>
  <si>
    <t>ইমাম</t>
  </si>
  <si>
    <t>রাসেল হোসেন</t>
  </si>
  <si>
    <t>মাহাবুল আলী</t>
  </si>
  <si>
    <t>জাহেদা খাতুন</t>
  </si>
  <si>
    <t>২৭/০৮/১৯৯৯</t>
  </si>
  <si>
    <t>আসাদুল</t>
  </si>
  <si>
    <t>সমর আলী</t>
  </si>
  <si>
    <t>সুন্দরী নেছা</t>
  </si>
  <si>
    <t>নাই, মহিষাখোলা, গাংনী, মেহেরপুর</t>
  </si>
  <si>
    <t>মৃতঃ তাহাজ উদ্দিন</t>
  </si>
  <si>
    <t>মৃতঃ ছপুরা</t>
  </si>
  <si>
    <t>২০/০৮/১৯৭৬</t>
  </si>
  <si>
    <t>মোঃ মোহরমান</t>
  </si>
  <si>
    <t>ফইজুদ্দীন</t>
  </si>
  <si>
    <t>মৃত রাবিয়া</t>
  </si>
  <si>
    <t>১০/১০/১৯৭৫</t>
  </si>
  <si>
    <t>মোছাঃ ছালমা খাতুন</t>
  </si>
  <si>
    <t>০৮/০৬/২০০০</t>
  </si>
  <si>
    <t>মহাবুল</t>
  </si>
  <si>
    <t>মৃত আব্দুল খালেক</t>
  </si>
  <si>
    <t>০২/০৪/১৯৭৯</t>
  </si>
  <si>
    <t>সাগর</t>
  </si>
  <si>
    <t>আজগর আলী</t>
  </si>
  <si>
    <t>ছবিয়ারা খাতুন</t>
  </si>
  <si>
    <t>১০/১০/১৯৯০</t>
  </si>
  <si>
    <t>মোঃ আল হোসেন</t>
  </si>
  <si>
    <t>মোছাঃ লিলিফা খাতুন</t>
  </si>
  <si>
    <t>১০/০৪/২০০৬</t>
  </si>
  <si>
    <t>১২৯, মহিষাখোলা, গাংনী, মেহেরপুর</t>
  </si>
  <si>
    <t>মোঃ আল জিহাদ</t>
  </si>
  <si>
    <t>মোছাঃ হোসনেয়ারা বেগম</t>
  </si>
  <si>
    <t>০৪/১২/২০০৪</t>
  </si>
  <si>
    <t>-২৪৯, মহিষাখোলা, গাংনী, মেহেরপুর</t>
  </si>
  <si>
    <t>মোঃ জুয়েল রানা</t>
  </si>
  <si>
    <t>মোছাঃ নাহিদা পারভীন</t>
  </si>
  <si>
    <t>০৬/০৫/২০০৪</t>
  </si>
  <si>
    <t>৬৯, মহিষাখোলা, গাংনী, মেহেরপুর</t>
  </si>
  <si>
    <t>মোঃ সাব্বির হোসেন</t>
  </si>
  <si>
    <t>মোঃ আবুল কালাম আজাদ</t>
  </si>
  <si>
    <t>মোছাঃ আশরাফেন নেছা</t>
  </si>
  <si>
    <t>১০/০৬/২০০৪</t>
  </si>
  <si>
    <t>৭১, মহিষাখোলা, গাংনী, মেহেরপুর</t>
  </si>
  <si>
    <t>মোঃ তানভীর হোসেন</t>
  </si>
  <si>
    <t>মোঃ জালাল মল্লিক</t>
  </si>
  <si>
    <t>০২/০৬/২০০৪</t>
  </si>
  <si>
    <t>১১২, মহিষাখোলা, গাংনী, মেহেরপুর</t>
  </si>
  <si>
    <t>০৯/০৭/২০০৪</t>
  </si>
  <si>
    <t>১৯২, মহিষাখোলা, গাংনী, মেহেরপুর</t>
  </si>
  <si>
    <t>মোঃ মোস্তাফিজুর রহমান</t>
  </si>
  <si>
    <t>মৃত কাজল আলী</t>
  </si>
  <si>
    <t>মোছাঃ মেহেরন নেছা</t>
  </si>
  <si>
    <t>০১/০১/২০০৬</t>
  </si>
  <si>
    <t>২২, মহিষাখোলা, গাংনী, মেহেরপুর</t>
  </si>
  <si>
    <t>তানভীর</t>
  </si>
  <si>
    <t>মোছাঃ তাহিরন নেছা</t>
  </si>
  <si>
    <t>১০/০৬/২০০৫</t>
  </si>
  <si>
    <t>১৭৫, মহিষাখোলা, গাংনী, মেহেরপুর</t>
  </si>
  <si>
    <t>সাকিল আহমেদ</t>
  </si>
  <si>
    <t>আব্দুল মমিন</t>
  </si>
  <si>
    <t>বেলি আরা</t>
  </si>
  <si>
    <t>১২/০১/২০০৫</t>
  </si>
  <si>
    <t>১২৫, মহিষাখোলা, গাংনী, মেহেরপুর</t>
  </si>
  <si>
    <t>মোঃ বায়েজিদ হোসেন</t>
  </si>
  <si>
    <t>মোঃ তোফাজ্জল হোসেন</t>
  </si>
  <si>
    <t>মোছাঃ আনজিরা খাতুন</t>
  </si>
  <si>
    <t>০৮/০৮/২০০৬</t>
  </si>
  <si>
    <t>২২৪, মহিষাখোলা, গাংনী, মেহেরপুর</t>
  </si>
  <si>
    <t>মোঃ নাইম উদ্দীন</t>
  </si>
  <si>
    <t>মোছাঃ নাজমা খাতুন</t>
  </si>
  <si>
    <t>২২/০৭/২০০৬</t>
  </si>
  <si>
    <t>৮০, মহিষাখোলা, গাংনী, মেহেরপুর</t>
  </si>
  <si>
    <t>মোঃ রতন আলী</t>
  </si>
  <si>
    <t>রওশনাারা খাতুন</t>
  </si>
  <si>
    <t>১৯/০১/২০০৬</t>
  </si>
  <si>
    <t>-১২৭, মহিষাখোলা, গাংনী, মেহেরপুর</t>
  </si>
  <si>
    <t>মোঃ জিহাদ</t>
  </si>
  <si>
    <t>মোছাঃ দিপালী খাতুন</t>
  </si>
  <si>
    <t>১৫/০২/২০০৬</t>
  </si>
  <si>
    <t>০৪/০৫/১৯৯৯</t>
  </si>
  <si>
    <t>০১/০২/২০০২</t>
  </si>
  <si>
    <t>মোঃ বিপ্লব হোসেন</t>
  </si>
  <si>
    <t>জেছের উদ্দীন</t>
  </si>
  <si>
    <t>রাশিয়া খাতুন</t>
  </si>
  <si>
    <t>১৩/১২/১৯৯১</t>
  </si>
  <si>
    <t>০৫/১২/২০০০</t>
  </si>
  <si>
    <t>মোঃ সজল হোসেন</t>
  </si>
  <si>
    <t>মোছাঃ শেলিফা খাতুন</t>
  </si>
  <si>
    <t>০৫/০৮/২০০২</t>
  </si>
  <si>
    <t>জান্নাত</t>
  </si>
  <si>
    <t>আশাদুল</t>
  </si>
  <si>
    <t>পারুলা</t>
  </si>
  <si>
    <t>১০/০৪/১৯৯৪</t>
  </si>
  <si>
    <t>১৫৫৫, মহিষাখোলা, গাংনী, মেহেরপুর</t>
  </si>
  <si>
    <t>জামাল</t>
  </si>
  <si>
    <t>হাবিবুর</t>
  </si>
  <si>
    <t>নাসিরন</t>
  </si>
  <si>
    <t>২০/১১/১৯৭৮</t>
  </si>
  <si>
    <t>মোঃ শাকিরুল ইসলাম</t>
  </si>
  <si>
    <t>উসমান আলী</t>
  </si>
  <si>
    <t>রাফিজা খাতুন</t>
  </si>
  <si>
    <t>০৪/০৫/১৯৯০</t>
  </si>
  <si>
    <t>মোহাঃ রাশিদুল ইসলাম</t>
  </si>
  <si>
    <t>০৫/০৪/২০০০</t>
  </si>
  <si>
    <t>মোঃ সাইদুর রহমান</t>
  </si>
  <si>
    <t>কুরছিয়া খাতুন</t>
  </si>
  <si>
    <t>০৯/০৫/২০০০</t>
  </si>
  <si>
    <t>মোঃ আলামিন আলী</t>
  </si>
  <si>
    <t>মোছাঃ ফাহিমা</t>
  </si>
  <si>
    <t>মোঃ রাশেদ হোসেন</t>
  </si>
  <si>
    <t>০৫/০৮/২০০০</t>
  </si>
  <si>
    <t>মোঃ হারুন অর রশিদ</t>
  </si>
  <si>
    <t>সিরাজ আলী</t>
  </si>
  <si>
    <t>শাহিনা খাতুন</t>
  </si>
  <si>
    <t>০৮/০১/১৯৯৭</t>
  </si>
  <si>
    <t>মোঃ গাফফারুল ইসলাম</t>
  </si>
  <si>
    <t>মোছাঃ জান্নাতুল নেছা</t>
  </si>
  <si>
    <t>মোঃ অসমত আলী</t>
  </si>
  <si>
    <t>মোছাঃ পাপিয়া খাতুন</t>
  </si>
  <si>
    <t>১২/১২/২০০০</t>
  </si>
  <si>
    <t>মোহাম্মদ ইকতারুল ইসলাম</t>
  </si>
  <si>
    <t>মোহাম্মদ ফুলচুর আলী</t>
  </si>
  <si>
    <t>০৫/০১/১৯৮৯</t>
  </si>
  <si>
    <t>১২, মহিষাখোলা, গাংনী, মেহেরপুর</t>
  </si>
  <si>
    <t>দোয়াত আলী</t>
  </si>
  <si>
    <t>০২/০২/১৯৮০</t>
  </si>
  <si>
    <t>২৩৩, মহিষাখোলা, গাংনী, মেহেরপুর</t>
  </si>
  <si>
    <t>মোঃ সৃজন আলী</t>
  </si>
  <si>
    <t>মোঃ মতিয়ার রহমান</t>
  </si>
  <si>
    <t>মোছাঃ রাশেদা খাতুন</t>
  </si>
  <si>
    <t>০৩/১২/২০০০</t>
  </si>
  <si>
    <t>১৭৯, মহিষাখোলা, গাংনী, মেহেরপুর</t>
  </si>
  <si>
    <t>আলামিন</t>
  </si>
  <si>
    <t>১৮/১২/১৯৮৫</t>
  </si>
  <si>
    <t>১৩০, মহিষাখোলা, গাংনী, মেহেরপুর</t>
  </si>
  <si>
    <t>মোঃ ইয়াকুব</t>
  </si>
  <si>
    <t>মৃত বাবুর আলী</t>
  </si>
  <si>
    <t>মনোয়ারা</t>
  </si>
  <si>
    <t>মোঃ হালিম সিকদার</t>
  </si>
  <si>
    <t>আহামদ আলী</t>
  </si>
  <si>
    <t>পারভীনা খাতুন</t>
  </si>
  <si>
    <t>১১/০১/২০০৩</t>
  </si>
  <si>
    <t>১৩৫, মহিষাখোলা, গাংনী, মেহেরপুর</t>
  </si>
  <si>
    <t>০৮/০৮/১৯৯৯</t>
  </si>
  <si>
    <t>২০১, মহিষাখোলা, গাংনী, মেহেরপুর</t>
  </si>
  <si>
    <t>ছাব্বির</t>
  </si>
  <si>
    <t>মানিক চাঁন</t>
  </si>
  <si>
    <t>আস্তাফুন</t>
  </si>
  <si>
    <t>০১/০১/১৯৯৩</t>
  </si>
  <si>
    <t>১৭৭, মহিষাখোলা, গাংনী, মেহেরপুর</t>
  </si>
  <si>
    <t>মোঃ সোহাগ আলী</t>
  </si>
  <si>
    <t>মোঃ হানেফ আলী</t>
  </si>
  <si>
    <t>মোছাঃ ছুমারা খাতুন</t>
  </si>
  <si>
    <t>০২/০২/১৯৯৩</t>
  </si>
  <si>
    <t>১৮০, মহিষাখোলা, গাংনী, মেহেরপুর</t>
  </si>
  <si>
    <t>মোঃ জুনায়েদ</t>
  </si>
  <si>
    <t>২০/০১/২০০৬</t>
  </si>
  <si>
    <t>২০/০৮/২০০৩</t>
  </si>
  <si>
    <t>মোঃ আননাছ হোসেন</t>
  </si>
  <si>
    <t>মোছাঃ নাসিমা খাতুন</t>
  </si>
  <si>
    <t>১০/০৩/২০০০</t>
  </si>
  <si>
    <t>মোঃ মাবারুল ইসলাম</t>
  </si>
  <si>
    <t>মোছাঃ মাহফুজা খাতুন</t>
  </si>
  <si>
    <t>০৮/০৮/২০০৩</t>
  </si>
  <si>
    <t>মোঃ ইনছারুল ইসলাম</t>
  </si>
  <si>
    <t>১৪/০৬/১৯৯৭</t>
  </si>
  <si>
    <t>মোঃ সোহাগ রানা</t>
  </si>
  <si>
    <t>মৃত আকমল</t>
  </si>
  <si>
    <t>মোছাঃ কামরুন্নাহার তামেশা</t>
  </si>
  <si>
    <t>০৮/১২/২০০৩</t>
  </si>
  <si>
    <t>নজরুল</t>
  </si>
  <si>
    <t>মৃত আজাদ মিয়া</t>
  </si>
  <si>
    <t>হাওয়া খাতুন</t>
  </si>
  <si>
    <t>১৫/০৪/১৯৬৯</t>
  </si>
  <si>
    <t>সুফিয়া খাতুন</t>
  </si>
  <si>
    <t>০২/০৩/১৯৮৫</t>
  </si>
  <si>
    <t>নাসির উদ্দীন</t>
  </si>
  <si>
    <t>তহমিনা খাতুন</t>
  </si>
  <si>
    <t>একরামুল আহমেদ</t>
  </si>
  <si>
    <t>মোছাঃ সোহরা খাতুন</t>
  </si>
  <si>
    <t>মোঃ তোহাদ্দেস মল্লিক</t>
  </si>
  <si>
    <t>মোছাঃ পাপি</t>
  </si>
  <si>
    <t>০৬/০৯/২০০২</t>
  </si>
  <si>
    <t>মোঃ মাবুদ হোসেন</t>
  </si>
  <si>
    <t>মোঃ ইদুকুল ইসলাম</t>
  </si>
  <si>
    <t>মোছাঃ কাবিরন খাতুন</t>
  </si>
  <si>
    <t>০৫/১০/২০০৪</t>
  </si>
  <si>
    <t>মোঃ জাহিদ হোসেন</t>
  </si>
  <si>
    <t>মোছাঃ কাজলী খাতুন</t>
  </si>
  <si>
    <t>০৮/০৮/২০০৪</t>
  </si>
  <si>
    <t>মোঃ রিমন হোসেন</t>
  </si>
  <si>
    <t>মোঃ জিয়াউল</t>
  </si>
  <si>
    <t>মোছাঃ শাহানাজ খাতুন</t>
  </si>
  <si>
    <t>০১/০১/২০০২</t>
  </si>
  <si>
    <t>মোঃ আরাফাত হোসেন</t>
  </si>
  <si>
    <t>০৫/০৫/২০০৩</t>
  </si>
  <si>
    <t>সজিবুর রহমান</t>
  </si>
  <si>
    <t>ছাত্তার হোসেন</t>
  </si>
  <si>
    <t>রসিদা খাতুন</t>
  </si>
  <si>
    <t>১৫/০৩/২০০৪</t>
  </si>
  <si>
    <t>মোঃ তুহিন হোসেন</t>
  </si>
  <si>
    <t>মোছাঃ মসিফা খাতুন</t>
  </si>
  <si>
    <t>মোছাঃ শরিফা খাতুন</t>
  </si>
  <si>
    <t>০৪/০৩/২০০৪</t>
  </si>
  <si>
    <t>২৫৯, মহিষাখোলা, গাংনী, মেহেরপুর</t>
  </si>
  <si>
    <t>মোঃ মাগছিদুল হাসান</t>
  </si>
  <si>
    <t>মোঃ আঃ জব্বার</t>
  </si>
  <si>
    <t>মোছাঃ মাকছুরা খাতুন</t>
  </si>
  <si>
    <t>২৫/০৬/১৯৯৬</t>
  </si>
  <si>
    <t>আনোয়ার হোসেন</t>
  </si>
  <si>
    <t>মৃত শুকুর আলী</t>
  </si>
  <si>
    <t>মৃত ছারা খাতুন</t>
  </si>
  <si>
    <t>মোঃ তোফাজেল হোসেন</t>
  </si>
  <si>
    <t>২০/০৩/২০০১</t>
  </si>
  <si>
    <t>হাসমত আলী</t>
  </si>
  <si>
    <t>আজগার আলী</t>
  </si>
  <si>
    <t>মাহিরন নেছা</t>
  </si>
  <si>
    <t>০১/০৭/১৯৭৯</t>
  </si>
  <si>
    <t>মোঃ মাসুম হোসেন</t>
  </si>
  <si>
    <t>মোঃ মুনাজাত আলী</t>
  </si>
  <si>
    <t>১০/১০/২০০৫</t>
  </si>
  <si>
    <t>মোঃ মাহফুজ হোসেন</t>
  </si>
  <si>
    <t>০১/১১/২০০৪</t>
  </si>
  <si>
    <t>০৮/১০/২০০৪</t>
  </si>
  <si>
    <t>মোঃ সান্টু আলী</t>
  </si>
  <si>
    <t>বেদানা</t>
  </si>
  <si>
    <t>০৮/১২/১৯৯৪</t>
  </si>
  <si>
    <t>৪৯৬, মহিষাখোলা, গাংনী, মেহেরপুর</t>
  </si>
  <si>
    <t>মাসুদ রানা</t>
  </si>
  <si>
    <t>রফিকুল ইসলাম</t>
  </si>
  <si>
    <t>মুর্শিদা</t>
  </si>
  <si>
    <t>১০/০৩/১৯৯২</t>
  </si>
  <si>
    <t>মোঃ ইব্রাহিম হোসেন</t>
  </si>
  <si>
    <t>০৭/০৩/২০০১</t>
  </si>
  <si>
    <t>মোঃ তামিম হোসেন</t>
  </si>
  <si>
    <t>মোঃ নুহ ইসলাম</t>
  </si>
  <si>
    <t>মোছাঃ হাদিসা খাতুন</t>
  </si>
  <si>
    <t>মোছাঃ সাবানা খাতুন</t>
  </si>
  <si>
    <t>০৬/০৬/২০০৩</t>
  </si>
  <si>
    <t>মোঃ সুয়াইব</t>
  </si>
  <si>
    <t>মোছাঃ রুবিনা খাতুন</t>
  </si>
  <si>
    <t>০৮/০৬/২০০২</t>
  </si>
  <si>
    <t>মোঃ ফিরোজ আলী</t>
  </si>
  <si>
    <t>মোছাঃ মুক্তা খাতুন</t>
  </si>
  <si>
    <t>০৫/০২/২০০৪</t>
  </si>
  <si>
    <t>মোঃ আসিব</t>
  </si>
  <si>
    <t>১০/১২/২০০৩</t>
  </si>
  <si>
    <t>মোছাঃ জাহানারা</t>
  </si>
  <si>
    <t>০৫/০৮/২০০১</t>
  </si>
  <si>
    <t>১০/০৮/২০০৫</t>
  </si>
  <si>
    <t>মোছাঃ আশাফুন</t>
  </si>
  <si>
    <t>০৮/০৮/২০০৫</t>
  </si>
  <si>
    <t>মোঃ যুবায়ের ইসলাম</t>
  </si>
  <si>
    <t>মোছাঃ ছফুরা খাতুন</t>
  </si>
  <si>
    <t>০৪/১০/২০০৩</t>
  </si>
  <si>
    <t>মোঃ রুবেল হোসেন</t>
  </si>
  <si>
    <t>২০/১০/২০০০</t>
  </si>
  <si>
    <t>মোঃ রাকিবুল ইসলাম</t>
  </si>
  <si>
    <t>১৩/০৫/২০০৫</t>
  </si>
  <si>
    <t>মোঃ জান্নাত আলী</t>
  </si>
  <si>
    <t>মোছাঃ সৈয়দ আলী</t>
  </si>
  <si>
    <t>১৮/০২/১৯৯৮</t>
  </si>
  <si>
    <t>মারুফ ইসলাম</t>
  </si>
  <si>
    <t>মফিজুল শেখ</t>
  </si>
  <si>
    <t>মোছাঃ রুপালী খাতুন</t>
  </si>
  <si>
    <t>০২/০১/২০০৬</t>
  </si>
  <si>
    <t>মোঃ জুবাইদ হোসেন</t>
  </si>
  <si>
    <t>মোছাঃ চামেলি খাতুন</t>
  </si>
  <si>
    <t>০৬/০৮/২০০৬</t>
  </si>
  <si>
    <t>মোঃ শহিদ হোসেন</t>
  </si>
  <si>
    <t>০৮/০৮/২০০১</t>
  </si>
  <si>
    <t>২৯৫, মহিষাখোলা, গাংনী, মেহেরপুর</t>
  </si>
  <si>
    <t>মোঃ কামাল আলী</t>
  </si>
  <si>
    <t>মোঃ হাবিবার</t>
  </si>
  <si>
    <t>মোছাঃ নিছারন খাতুন</t>
  </si>
  <si>
    <t>০৬/০১/১৯৮৫</t>
  </si>
  <si>
    <t>মোঃ আবদুস সালাম</t>
  </si>
  <si>
    <t>মোঃ সমশের আলি</t>
  </si>
  <si>
    <t>০৫/০৮/১৯৮৭</t>
  </si>
  <si>
    <t>মোঃ সমশের আলী</t>
  </si>
  <si>
    <t>মোছাঃ আছিয়া বেগম</t>
  </si>
  <si>
    <t>মোঃ জিসান আলী</t>
  </si>
  <si>
    <t>মোছাঃ জীবন নাহার</t>
  </si>
  <si>
    <t>৩১/০৭/২০০৭</t>
  </si>
  <si>
    <t>গালিব</t>
  </si>
  <si>
    <t>মোছাঃ বেদেনা খাতুন</t>
  </si>
  <si>
    <t>২৮/০৯/২০০৭</t>
  </si>
  <si>
    <t>মোঃ সালমান ফার্সি</t>
  </si>
  <si>
    <t>মোঃ সের মোহাম্মদ</t>
  </si>
  <si>
    <t>মোছাঃ নাজমুনাহার</t>
  </si>
  <si>
    <t>১৭/০৫/২০০৭</t>
  </si>
  <si>
    <t>মোঃ রাহাতুল ইসলাম</t>
  </si>
  <si>
    <t>০৮/১০/২০০৭</t>
  </si>
  <si>
    <t>মোঃ মুহারুদ্দীন</t>
  </si>
  <si>
    <t>১৯/০৫/২০০৩</t>
  </si>
  <si>
    <t>মোঃ মহাবুল হোসেন</t>
  </si>
  <si>
    <t>জবেদ আলী</t>
  </si>
  <si>
    <t>মাহাতন নেছা</t>
  </si>
  <si>
    <t>০৩/০৯/১৯৯১</t>
  </si>
  <si>
    <t>২৪২, মহিষাখোলা, গাংনী, মেহেরপুর</t>
  </si>
  <si>
    <t>মোঃ রাইসুল ইসলাম</t>
  </si>
  <si>
    <t>মোছাঃ সানজিদা খাতুন</t>
  </si>
  <si>
    <t>১১/১০/২০০৫</t>
  </si>
  <si>
    <t>১০২, মহিষাখোলা, গাংনী, মেহেরপুর</t>
  </si>
  <si>
    <t>ক্রমিক নং,নাম,ভোটার নং,পিতা,মাতা,জন্ম তারিখ,পেশা,ঠিকানা</t>
  </si>
  <si>
    <t>০০১,মোঃ মহিবুল হক,৫৭০০৫৪৩৭৪০০৩,আজিজুল হক,মোছাঃ আয়েশা খাতুন,১৫/০৪/১৯৬৫,সরকারী চাকুরী,মহিষাখোলা, গাংনী, মেহেরপুর</t>
  </si>
  <si>
    <t>০০২,মোঃ আঃ লতিফ,৫৭০০৫৪৩৭৪০১১,মোঃ আব্দুল রশিদ,রুপিয়া খাতুন,১২/০৫/১৯৫৭,ব্যবসা,মহিষাখোলা, গাংনী, মেহেরপুর</t>
  </si>
  <si>
    <t>০০৩,মোহাঃ ওহিদুল আলম,৫৭০০৫৪৩৭৪০১৮,ইছাহক আলী বিশ্বাস,মোছাঃ জমেলা খাতুন,১২/১০/১৯৪৯,ব্যবসা,মহিষাখোলা, গাংনী, মেহেরপুর</t>
  </si>
  <si>
    <t>০০৪,মোহাঃ ফেরদৌস আলী,৫৭০০৫৪৩৭৪০১৯,ইছাহক আলী বিশ্বাস,মোছাঃ জমেলা খাতুন,১২/১০/১৯৬০,কৃষক,মহিষাখোলা, গাংনী, মেহেরপুর</t>
  </si>
  <si>
    <t>০০৫,মোঃ ফরিদ আলি,৫৭০০৫৪৩৭৪০২৪,তাহাজুদ্দীন,মোছাঃ বিবিজান,১২/১০/১৯৮৫,কৃষক,মহিষাখোলা, গাংনী, মেহেরপুর</t>
  </si>
  <si>
    <t>০০৬,মোহাঃ ছাইফুল ইসলাম,৫৭০০৫৪৩৭৪০২৫,মোহাঃ ফেরদৌস আলী,মোহাঃ কোহিনুর বেগম,১২/১০/১৯৮২,কৃষক,মহিষাখোলা, গাংনী, মেহেরপুর</t>
  </si>
  <si>
    <t>০০৭,মোঃ জহুরুল ইসলাম,৫৭০০৫৪৩৭৪০২৮,তাহাজুদ্দীন,মোছাঃ বিবিজান,১২/১০/১৯৮২,কৃষক,মহিষাখোলা, গাংনী, মেহেরপুর</t>
  </si>
  <si>
    <t>০০৮,মোঃ আশাদুল হক,৫৭০০৫৪৩৭৪০৪১,খেদের আলী,মোছাঃ ফাতেমা,১২/০৫/১৯৭০,দিনমজুর,মহিষাখোলা, গাংনী, মেহেরপুর</t>
  </si>
  <si>
    <t>০০৯,মোঃ আমিরুদ্দীন,৫৭০০৫৪৩৭৪০৪২,মোঃ সুবহান শেখ,মোছাঃ রহিদা,১০/০৫/১৯৫৫,দিনমজুর,মহিষাখোলা, গাংনী, মেহেরপুর</t>
  </si>
  <si>
    <t>০১০,মোঃ মহিবুল ইসলাম,৫৭০০৫৪৩৭৪০৪৪,মোঃ আঃ লতিফ,মোছাঃ সামেনা খাতুন,২৫/০৬/১৯৮৬,ছাত্র/ছাত্রী,মহিষাখোলা, গাংনী, মেহেরপুর</t>
  </si>
  <si>
    <t>০১১,মোঃ জমিরুল ইসলাম,৫৭০০৫৪৩৭৪০৪৫,মোঃ সুবহান,মোছাঃ রহিদা,১০/১০/১৯৭৮,দিনমজুর,মহিষাখোলা, গাংনী, মেহেরপুর</t>
  </si>
  <si>
    <t>০১২,মোঃ আসাদুল ইসলাম,৫৭০০৫৪৩৭৪০৪৬,মোঃ আব্দুল মান্নান,মোছাঃ আম্বিয়া খাতুন,০৮/০৫/১৯৬৫,কৃষক,মহিষাখোলা, গাংনী, মেহেরপুর</t>
  </si>
  <si>
    <t>০১৩,মোঃ জাহিদুল ইসলাম,৫৭০০৫৪৩৭৪০৪৭,মোঃ আব্দুল মান্নান,মোছাঃ আম্বিয়া খাতুন,২৬/০৮/১৯৭২,কৃষক,মহিষাখোলা, গাংনী, মেহেরপুর</t>
  </si>
  <si>
    <t>০১৫,মোঃ ইছারুদ্দীন,৫৭০০৫৪৩৭৪০৪৯,মোঃ আব্দুল মান্নান,মোছাঃ আম্বিয়া খাতুন,০৮/০৪/১৯৮২,কৃষক,ধানখোলা, গাংনী, মেহেরপুর</t>
  </si>
  <si>
    <t>০১৬,মোঃ হারেজ উদ্দীন,৫৭০০৫৪৩৭৪০৫১,মাদার আলী,ফুলকুমারী,২০/০৬/১৯৪৭,কৃষক,মহিষাখোলা, গাংনী, মেহেরপুর</t>
  </si>
  <si>
    <t>০১৭,মোঃ হাসান আলী,৫৭০০৫৪৩৭৪০৫২,মোঃ জমিরুদ্দীন,মোছাঃ সোনাভানু,১২/০৪/১৯৭২,কৃষক,মহিষাখোলা, গাংনী, মেহেরপুর</t>
  </si>
  <si>
    <t>০১৮,মোহাঃ ইক্তিয়ার আলম,৫৭০০৫৪৩৭৪০৫৪,মোঃ আজিজুল,মোছাঃ রেবেকা,১০/০৫/১৯৭৯,দিনমজুর,মহিষাখোলা, গাংনী, মেহেরপুর</t>
  </si>
  <si>
    <t>০১৯,মোঃ আমজাদ হোসেন,৫৭০০৫৪৩৭৪০৬৩,মোঃ জমিরুদ্দীন,মোছাঃ সোনাভানু,১৫/০৫/১৯৬৭,কৃষক,মহিষাখোলা, গাংনী, মেহেরপুর</t>
  </si>
  <si>
    <t>০২০,মোঃ সানারুল ইসলাম,৫৭০০৫৪৩৭৪০৬৬,মোঃ বাদশা মন্ডল,মোছাঃ ফাতেমা খাতুন,১২/১০/১৯৮২,কৃষক,মহিষাখোলা, গাংনী, মেহেরপুর</t>
  </si>
  <si>
    <t>০২১,মোঃ আঃ রাজ্জাক,৫৭০০৫৪৩৭৪০৭০,মোঃ সামসুল হক,মোছাঃ তসলিমা,১২/০৫/১৯৭২,কৃষক,মহিষাখোলা, গাংনী, মেহেরপুর</t>
  </si>
  <si>
    <t>০২২,মোঃ জমিরুল ইসলাম,৫৭০০৫৪৩৭৪০৭১,মোঃ আঃ মালেক,মোছাঃ রহিমা খাতুন,১৪/০৫/১৯৭৫,কৃষক,মহিষাখোলা, গাংনী, মেহেরপুর</t>
  </si>
  <si>
    <t>০২৩,মোঃ ছানাউল্লাহ,৫৭০০৫৪৩৭৪০৭৫,মোঃ আঃ মালেক,মোছাঃ রহিমা খাতুন,১২/০৫/১৯৭৩,কৃষক,মহিষাখোলা, গাংনী, মেহেরপুর</t>
  </si>
  <si>
    <t>০২৪,মোঃ মহিউদ্দীন,৫৭০০৫৪৩৭৪০৭৬,রাহিল উদ্দীন,মোছাঃ রাবিয়া খাতুন,১৫/০৫/১৯৮২,ব্যবসা,মহিষাখোলা, গাংনী, মেহেরপুর</t>
  </si>
  <si>
    <t>০২৫,মোঃ রবিউল ইসলাম,৫৭০০৫৪৩৭৪০৮০,মোঃ সামসুল,মোছাঃ তসলিমা,১০/০২/১৯৭৩,কৃষক,মহিষাখোলা, গাংনী, মেহেরপুর</t>
  </si>
  <si>
    <t>০২৬,মোঃ বারিউল ইসলাম,৫৭০০৫৪৩৭৪০৮৫,মোঃ গোলাম সরো হক,মোছাঃ জায়েদা খাতুন,১০/০৬/১৯৮৯,কৃষক,মহিষাখোলা, গাংনী, মেহেরপুর</t>
  </si>
  <si>
    <t>০২৭,মোঃ গোলাম সরোয়ার,৫৭০০৫৪৩৭৪০৮৬,কিয়ামদ্দীন,ফতেজান নেছা,০৮/০৬/১৯৪২,কৃষক,মহিষাখোলা, গাংনী, মেহেরপুর</t>
  </si>
  <si>
    <t>০২৮,মোঃ শাহাজাহান মল্লিক,৫৭০০৫৪৩৭৪০৯১,ছিতাব আলী,সাহার বানু,০২/১২/১৯৭২,কৃষক,মহিষাখোলা, গাংনী, মেহেরপুর</t>
  </si>
  <si>
    <t>০২৯,মোঃ ইয়ামিন ইসলাম,৫৭০০৫৪৩৭৪০৯৪,মোঃ আঃ কুদ্দুস,মোছাঃ হাজেরা খাতুন,১০/০৪/১৯৭৫,কৃষক,মহিষাখোলা, গাংনী, মেহেরপুর</t>
  </si>
  <si>
    <t>০৩০,মোঃ মিরাজুল ইসলাম,৫৭০০৫৪৩৭৪০৯৬,খেদের,মোছাঃ ফাতেমা,১৫/০৩/১৯৭৩,ব্যবসা,মহিষাখোলা, গাংনী, মেহেরপুর</t>
  </si>
  <si>
    <t>০৩১,মোঃ নাজমুল হক,৫৭০০৫৪৩৭৪০৯৭,মোঃ নাজির মন্ডল,মোছাঃ নাজেরা খাতুন,২৩/০৫/১৯৮৫,ব্যবসা,মহিষাখোলা, গাংনী, মেহেরপুর</t>
  </si>
  <si>
    <t>০৩২,মোঃ হাসিবুল হক,৫৭০০৫৪৩৭৪০৯৮,রাহিল উদ্দীন,মোছাঃ রাবিয়া,১০/০২/১৯৬৭,ব্যবসা,মহিষাখোলা, গাংনী, মেহেরপুর</t>
  </si>
  <si>
    <t>০৩৩,মোঃ জয়নাল আবেদিন,৫৭০০৫৪৩৭৪১০০,মোঃ গোলাম মোস্তফা,আলিয়া খাতুন,১২/০৫/১৯৭৯,কৃষক,মহিষাখোলা, গাংনী, মেহেরপুর</t>
  </si>
  <si>
    <t>০৩৪,শ্রী কানু চন্দ্র দাস,৫৭০০৫৪৩৭৪১০৬,গণেশ চন্দ্র দাস,শ্রী টুনি বালা,০৭/০৫/১৯৬৭,অন্যান্য,মহিষাখোলা, গাংনী, মেহেরপুর</t>
  </si>
  <si>
    <t>০৩৫,মোঃ মিন্টু মিয়া,৫৭০০৫৪৩৭৪১০৯,মোঃ রফিকুল ইসলাম,মোছাঃ তহুরা খাতুন,২০/১০/১৯৮৭,ব্যবসা,মহিষাখোলা, গাংনী, মেহেরপুর</t>
  </si>
  <si>
    <t>০৩৬,মোঃ মকবুল হোসেন,৫৭০০৫৪৩৭৪১১৮,মোঃ উমদাদ আলী,মোছাঃ ছাহারন নেছা,২৫/১০/১৯৬৪,কৃষক,মহিষাখোলা, গাংনী, মেহেরপুর</t>
  </si>
  <si>
    <t>০৩৭,মোঃ মিন্টু আলী,৫৭০০৫৪৩৭৪১১৯,মোঃ উমদাদ আলী,মোছাঃ ছাহারন খাতুন,২২/০৪/১৯৮৭,ব্যবসা,মহিষাখোলা, গাংনী, মেহেরপুর</t>
  </si>
  <si>
    <t>০৩৮,মোঃ জুলাইমান হোসেন,৫৭০০৫৪৩৭৪১২০,আঃ রহমান,মোছাঃ হালিমা খাতুন,২০/০৮/১৯৮৭,শ্রমিক,মহিষাখোলা, গাংনী, মেহেরপুর</t>
  </si>
  <si>
    <t>০৩৯,মোঃ ইমাদুল হক,৫৭০০৫৪৩৭৪১২১,খেদের বকস,মোছাঃ ফাতেমা খাতুন,২৫/০৭/১৯৭৫,শ্রমিক,মহিষাখোলা, গাংনী, মেহেরপুর</t>
  </si>
  <si>
    <t>০৪০,মোঃ তারিকুল ইসলাম,৫৭০০৫৪৩৭৪১২৫,মোঃ হায়দার আলী,মোছাঃ বানুয়ারা খাতুন,২১/১০/১৯৮৮,শ্রমিক,মহিষাখোলা, গাংনী, মেহেরপুর</t>
  </si>
  <si>
    <t>০৪১,মোঃ মনিরুজ্জামান,৫৭০০৫৪৩৭৪১২০,মোঃ ইয়াকুব আলী,মোছাঃ মনোয়ারা খাতুন,১১/১২/১৯৮৬,বেকার,মহিষাখোলা, গাংনী, মেহেরপুর</t>
  </si>
  <si>
    <t>০৪২,মোঃ হামিদুল ইসলাম,৫৭০০৫৪৩৭৪১৩২,মতিয়ার রহমান,মোছাঃ হামেদা খাতুন,২০/০৪/১৯৭৭,দিনমজুর,মহিষাখোলা, গাংনী, মেহেরপুর</t>
  </si>
  <si>
    <t>০৪৩,মোঃ মানিক আলী,৫৭০০৫৪৩৭৪১৩৬,শহীদ বকস,মোছাঃ নূরজাহান বেগম,৩০/১২/১৯৬৮,কৃষক,মহিষাখোলা, গাংনী, মেহেরপুর</t>
  </si>
  <si>
    <t>০৪৪,মোঃ জাকিরুল ইসলাম,৫৭০০৫৪৩৭৪১৪২,মোঃ মানিক আলী,মোছাঃ জগোতারা,২০/০৪/১৯৮৯,কৃষক,মহিষাখোলা, গাংনী, মেহেরপুর</t>
  </si>
  <si>
    <t>০৪৫,মোঃ মাজেদুল ইসলাম,৫৭০০৫৪৩৭৪১৪৩,মোঃ আজিজুল ইসলাম,মোছাঃ ছবেদা খাতুন,১৯/০৭/১৯৮৮,কৃষক,মহিষাখোলা, গাংনী, মেহেরপুর</t>
  </si>
  <si>
    <t>০৪৭,মোঃ আরিফ হোসেন,৫৭০০৫৪৩৭৪১৪৯,ছিয়ামুদ্দীন মল্লিক,মোছাঃ ছদিরন নেছা,১০/১২/১৯৮২,শ্রমিক,মহিষাখোলা, গাংনী, মেহেরপুর</t>
  </si>
  <si>
    <t>০৪৮,মোঃ জলিল মন্ডল,৫৭০০৫৪৩৭৪১৫৪,এছের আলী মন্ডল,মোছাঃ সবুরা খাতুন,২০/০৩/১৯২৭,কৃষক,মহিষাখোলা, গাংনী, মেহেরপুর</t>
  </si>
  <si>
    <t>০৪৯,মোঃ আব্দুল গফুর,৫৭০০৫৪৩৭৪১৫৭,মোঃ আব্দুল আজিজ মন্ডল,মোছাঃ রমেলা খাতুন,০৮/০১/১৯৮৭,বেসরকারী চাকুরী,মহিষাখোলা, গাংনী, মেহেরপুর</t>
  </si>
  <si>
    <t>০৫০,মোঃ শরিফুল ইসলাম,৫৭০০৫৪৩৭৪১৬০,মোঃ আঃ মোতালেব,মোছাঃ নিবাসন নেছা,১২/০৫/১৯৬৯,ব্যবসা,মহিষাখোলা, গাংনী, মেহেরপুর</t>
  </si>
  <si>
    <t>০৫১,মোঃ আঃ জাব্বার,৫৭০০৫৪৩৭৪১৬৩,মোঃ আঃ জলিল,মোছাঃ নিহারন খাতুন,০১/০১/১৯৬৮,ব্যবসা,মহিষাখোলা, গাংনী, মেহেরপুর</t>
  </si>
  <si>
    <t>০৫২,মোঃ নজরুল ইসলাম,৫৭০০৫৪৩৭৪১৬৬,মোঃ মহিরুদ্দীন,আছিয়া খাতুন,২৫/০৭/১৯৬৪,শ্রমিক,মহিষাখোলা, গাংনী, মেহেরপুর</t>
  </si>
  <si>
    <t>০৫৩,মোঃ ইদ্রিস আলী,৫৭০০৫৪৩৭৪১৬৮,মোঃ নজরুল ইসলাম,মর্জিনা খাতুন,০৩/১২/১৯৭৯,শ্রমিক,মহিষাখোলা, গাংনী, মেহেরপুর</t>
  </si>
  <si>
    <t>০৫৪,মোঃ নিয়ামত আলী,৫৭০০৫৪৩৭৪১৭০,আবুল হোসেন,মলিদা খাতুন,০৫/১০/১৯৭০,ব্যবসা,মহিষাখোলা, গাংনী, মেহেরপুর</t>
  </si>
  <si>
    <t>০৫৫,মোঃ আঃ রশিদ,৫৭০০৫৪৩৭৪১৭৫,অহিল উদ্দীন মন্ডল,মোছাঃ মলেজান খাতুন,২৫/১০/১৯৬৯,শ্রমিক,মহিষাখোলা, গাংনী, মেহেরপুর</t>
  </si>
  <si>
    <t>০৫৬,মোঃ আলাউদ্দীন,৫৭০০৫৪৩৭৪১৭৬,সিরাজুদ্দীন মন্ডল,মোছাঃ হালিমা খাতুন,১০/০২/১৯৮১,কৃষক,মহিষাখোলা, গাংনী, মেহেরপুর</t>
  </si>
  <si>
    <t>০৫৭,মোঃ আবু বকর ছিদ্দিক,৫৭০০৫৪৩৭৪১৮৬,মোঃ দেলোয়ার হোসেন,মোছাঃ নিহারন খাতুন,০৫/১০/১৯৬২,শ্রমিক,মহিষাখোলা, গাংনী, মেহেরপুর</t>
  </si>
  <si>
    <t>০৫৮,মোঃ নজরুল ইসলাম,৫৭০০৫৪৩৭৪১৮৭,মোঃ নজিমুদ্দীন মল্লিক,ছকুরা খাতুন,২০/০৩/১৯৫৯,শ্রমিক,মহিষাখোলা, গাংনী, মেহেরপুর</t>
  </si>
  <si>
    <t>০৫৯,মোঃ আউব আলী,৫৭০০৫৪৩৭৪১৮৮,শহীদ বক্স,মোছাঃ তাহারন নেছা,২০/১০/১৯৬৫,কৃষক,মহিষাখোলা, গাংনী, মেহেরপুর</t>
  </si>
  <si>
    <t>০৬০,মোঃ আনিচুর রহমান,৫৭০০৫৪৩৭৪১৯০,আত্তাব আলী মন্ডল,মোছাঃ হামেদা বেগম,১০/০৪/১৯৬৯,শ্রমিক,মহিষাখোলা, গাংনী, মেহেরপুর</t>
  </si>
  <si>
    <t>০৬১,মোঃ মফিজুর রহমান,৫৭০০৫৪৩৭৪১৯১,আত্তাব আলী মন্ডল,মোছাঃ হামেদা বেগম,০৫/০৪/১৯৮৫,কৃষক,মহিষাখোলা, গাংনী, মেহেরপুর</t>
  </si>
  <si>
    <t>০৬২,মোঃ হাফিজুর রহমান,৫৭০০৫৪৩৭৪১৯২,দাউদ আলী,মোছাঃ বিবিজান,১০/০৪/১৯৭৪,কৃষক,মহিষাখোলা, গাংনী, মেহেরপুর</t>
  </si>
  <si>
    <t>০৬৩,মোঃ ইনামুল হক,৫৭০০৫৪৩৭৪১৯৪,মোঃ জালাল উদ্দীন,মোছাঃ সহনা খাতুন,০৪/০৫/১৯৮২,কৃষক,মহিষাখোলা, গাংনী, মেহেরপুর</t>
  </si>
  <si>
    <t>০৬৪,মোঃ আজিজুল হক,৫৭০০৫৪৩৭৪২০০,ইছাহক আলী,মোছাঃ জমেলা খাতুন,০৪/১০/১৯৪৭,কৃষক,মহিষাখোলা, গাংনী, মেহেরপুর</t>
  </si>
  <si>
    <t>০৬৫,মোঃ বাবলু হোসেন,৫৭০০৫৪৩৭৪২০১,মোঃ মুনছুর আলী,মোছাঃ নূরজাহান খাতুন,১০/০৫/১৯৭৩,শ্রমিক,মহিষাখোলা, গাংনী, মেহেরপুর</t>
  </si>
  <si>
    <t>০৬৬,মোঃ তারিকুল ইসলাম,৫৭০০৫৪৩৭৪২০২,ছিয়ামুদ্দীন,মোছাঃ ছদিরন নেছা,১০/০৫/১৯৮৪,দিনমজুর,মহিষাখোলা, গাংনী, মেহেরপুর</t>
  </si>
  <si>
    <t>০৬৭,মোঃ আলফাজ উদ্দীন,৫৭০০৫৪৩৭৪২০৪,মোঃ আউব আলী,মোছাঃ আকলিমা খাতুন,১০/০৫/১৯৮৩,কৃষক,মহিষাখোলা, গাংনী, মেহেরপুর</t>
  </si>
  <si>
    <t>০৬৮,মোঃ আউব আলী,৫৭০০৫৪৩৭৪২০৫,নূরবক্স মন্ডল,মোছাঃ ছারেজান খাতুন,১০/০৪/১৯৬১,কৃষক,মহিষাখোলা, গাংনী, মেহেরপুর</t>
  </si>
  <si>
    <t>০৬৯,মোঃ জাহাঙ্গীর আলম,৫৭০০৫৪৩৭৪২০৯,মোঃ আজাদ বকস,মোছাঃ হাওয়া খাতুন,০৫/০৭/১৯৭৯,কৃষক,মহিষাখোলা, গাংনী, মেহেরপুর</t>
  </si>
  <si>
    <t>০৭০,মোঃ ইসরাফিল আলম,৫৭০০৫৪৩৭৪২১০,মোহাঃ আরজুল্লাহ,মোছাঃ মদিনা খাতুন,১৫/০৩/১৯৭৩,শ্রমিক,মহিষাখোলা, গাংনী, মেহেরপুর</t>
  </si>
  <si>
    <t>০৭১,মোঃ আবুল কাশেম,৫৭০০৫৪৩৭৪২১৬,কাদের বকস,মোছাঃ পিরন নেছা,২২/০৫/১৯৫৭,কৃষক,মহিষাখোলা, গাংনী, মেহেরপুর</t>
  </si>
  <si>
    <t>০৭২,মোঃ ওহিদ আলী,৫৭০০৫৪৩৭৪২১৭,বাছের মন্ডল,মোছাঃ নিমরী খাতুন,০৬/০৯/১৯৬৫,শ্রমিক,মহিষাখোলা, গাংনী, মেহেরপুর</t>
  </si>
  <si>
    <t>০৭৩,মোঃ সাজিদুল,৫৭০০৫৪৩৭৪২১৮,আজিজুল হক,সবেদা খাতুন,১৪/০৬/১৯৭৪,কৃষক,মহিষাখোলা, গাংনী, মেহেরপুর</t>
  </si>
  <si>
    <t>০৭৪,মোঃ আসমত আলী,৫৭০০৫৪৩৭৪২২২,মোঃ মওলা বকস,আয়শা খাতুন,০২/০৫/১৯৭০,শ্রমিক,মহিষাখোলা, গাংনী, মেহেরপুর</t>
  </si>
  <si>
    <t>০৭৫,মোঃ হামিদুল ইসলাম,৫৭০০৫৪৩৭৪২২৪,দাউদ বিশ্বাস,মোছাঃ বিবিজান,১৩/০৭/১৯৮৪,কৃষক,মহিষাখোলা, গাংনী, মেহেরপুর</t>
  </si>
  <si>
    <t>০৭৬,মোঃ আঃ রহমান,৫৭০০৫৪৩৭৪২২৫,খোরশেদ আলী,মোছাঃ ময়ফুল নেছা,১২/০৬/১৯৭৫,ব্যবসা,মহিষাখোলা, গাংনী, মেহেরপুর</t>
  </si>
  <si>
    <t>০৭৭,মোঃ আঃ মমিন,৫৭০০৫৪৩৭৪২২৬,দাউদ আলী,মোছাঃ বিবিজান,১০/০৩/১৯৬৩,কৃষক,মহিষাখোলা, গাংনী, মেহেরপুর</t>
  </si>
  <si>
    <t>০৭৮,মোঃ আবেদ আলী,৫৭০০৫৪৩৭৪২২৭,খেজমত আলী,মোছাঃ পাঁচিরন বিবি,২০/০৪/১৯৬২,কৃষক,মহিষাখোলা, গাংনী, মেহেরপুর</t>
  </si>
  <si>
    <t>০৭৯,মোঃ হায়দার আলী,৫৭০০৫৪৩৭৪২২৮,মহিরুদ্দীন জোয়ার্দ্দার,মোছাঃ রমেছা খাতুন,০৫/০৯/১৯৬৩,শ্রমিক,মহিষাখোলা, গাংনী, মেহেরপুর</t>
  </si>
  <si>
    <t>০৮০,মোঃ জামাত আলী,৫৭০০৫৪৩৭৪২৩১,খবির উদ্দীন,মোছাঃ রোকেয়া খাতুন,০৭/১০/১৯৬২,কৃষক,মহিষাখোলা, গাংনী, মেহেরপুর</t>
  </si>
  <si>
    <t>০৮১,মোঃ আব্দুর রশিদ,৫৭০০৫৪৩৭৪২৩৩,মোঃ দোয়াত আলী,মোছাঃ মনোয়ারা খাতুন,২১/১১/১৯৮৮,কৃষক,মহিষাখোলা, গাংনী, মেহেরপুর</t>
  </si>
  <si>
    <t>০৮২,মোঃ রেজাউল হক,৫৭০০৫৪৩৭৪২৩৪,মোঃ আবুল কাশেম,মোছাঃ নূরজাহান বেগম,০৯/১০/১৯৭৬,শিক্ষক,মহিষাখোলা, গাংনী, মেহেরপুর</t>
  </si>
  <si>
    <t>০৮৩,মোঃ আনিছুর রহমান,৫৭০০৫৪৩৭৪২৪০,শামসুল হক মিয়া,মোছাঃ জাহানারা বেগম,২০/০৫/১৯৬৩,কৃষক,মহিষাখোলা, গাংনী, মেহেরপুর</t>
  </si>
  <si>
    <t>০৮৪,মোঃ আঃ মজিদ,৫৭০০৫৪৩৭৪২৪৪,দিদার আলী বিশ্বাস,মোছাঃ নছিমন নেছা,২০/০৪/১৯৬১,কৃষক,মহিষাখোলা, গাংনী, মেহেরপুর</t>
  </si>
  <si>
    <t>০৮৫,মোঃ দোয়াত আলী,৫৭০০৫৪৩৭৪২৪৫,মোঃ আকছার মন্ডল,আনোয়ারা খাতুন,১০/০৪/১৯৬২,কৃষক,মহিষাখোলা, গাংনী, মেহেরপুর</t>
  </si>
  <si>
    <t>০৮৬,মোঃ জেছের উদ্দীন,৫৭০০৫৪৩৭৪২৪৬,বদর উদ্দীন,মোছাঃ রমেলা খাতুন,৩০/০৪/১৯৭১,শ্রমিক,মহিষাখোলা, গাংনী, মেহেরপুর</t>
  </si>
  <si>
    <t>০৮৭,মোঃ ইছারুদ্দীন,৫৭০০৫৪৩৭৪২৪৭,বদর উদ্দীন,মোছাঃ রমেলা খাতুন,১০/০৫/১৯৬৯,শ্রমিক,মহিষাখোলা, গাংনী, মেহেরপুর</t>
  </si>
  <si>
    <t>০৮৮,মোঃ মুছারুদ্দীন,৫৭০০৫৪৩৭৪২৪৮,বদরদ্দীন,মোছাঃ রমেলা খাতুন,২০/১০/১৯৬৫,কৃষক,মহিষাখোলা, গাংনী, মেহেরপুর</t>
  </si>
  <si>
    <t>০৮৯,মোঃ মজিবর রহমান,৫৭০০৫৪৩৭৪২৪৯,ফুলবাস মন্ডল,মোছাঃ নেকজান,৩১/১২/১৯৬০,শ্রমিক,মহিষাখোলা, গাংনী, মেহেরপুর</t>
  </si>
  <si>
    <t>০৯০,মোঃ ওসমান আলী,৫৭০০৫৪৩৭৪২৫০,দিদার বিশ্বাস,মোছাঃ নছিমন নেছা,২৫/০৭/১৯৭২,কৃষক,মহিষাখোলা, গাংনী, মেহেরপুর</t>
  </si>
  <si>
    <t>০৯১,মোঃ ওমর আলী,৫৭০০৫৪৩৭৪২৫১,দিদার বিশ্বাস,মোছাঃ নছিমন নেছা,১৫/০৩/১৯৭৭,কৃষক,মহিষাখোলা, গাংনী, মেহেরপুর</t>
  </si>
  <si>
    <t>০৯২,মোঃ হাসান আলী,৫৭০০৫৪৩৭৪২৫২,নিয়াকত আলী,মোছাঃ ছামিরন নেছা,০৯/১১/১৯৮২,কৃষক,মহিষাখোলা, গাংনী, মেহেরপুর</t>
  </si>
  <si>
    <t>০৯৩,মোঃ আব্দুর রাজ্জাক,৫৭০০৫৪৩৭৪২৫৩,মোঃ ইউসুফ আলী,মোছাঃ হাওয়া খাতুন,১৬/০৪/১৯৬৫,শ্রমিক,মহিষাখোলা, গাংনী, মেহেরপুর</t>
  </si>
  <si>
    <t>০৯৪,মোঃ তৈয়ব আলী,৫৭০০৫৪৩৭৪২৫৪,মোহাঃ আরজান আলী,মোছাঃ খাইরন নেছা,০৩/০৪/১৯৮০,কৃষক,মহিষাখোলা, গাংনী, মেহেরপুর</t>
  </si>
  <si>
    <t>০৯৫,মোঃ আরজান আলী,৫৭০০৫৪৩৭৪২৫৫,হায়াত আলী,মোছাঃ নিমালা খাতুন,২০/০৭/১৯৪৭,কৃষক,মহিষাখোলা, গাংনী, মেহেরপুর</t>
  </si>
  <si>
    <t>০৯৬,মোঃ বকতিয়ার রহমান,৫৭০০৫৪৩৭৪২৫৬,মোঃ আরজান আলী,মোছাঃ খাইরন নেছা,১৪/০২/১৯৮৩,কৃষক,মহিষাখোলা, গাংনী, মেহেরপুর</t>
  </si>
  <si>
    <t>০৯৭,মোঃ রেজাউল হক,৫৭০০৫৪৩৭৪২৬২,মোঃ আজাদ বকস,মোছাঃ হাওয়া খাতুন,৩১/১২/১৯৬৯,কৃষক,মহিষাখোলা, গাংনী, মেহেরপুর</t>
  </si>
  <si>
    <t>০৯৮,মোঃ দোয়াত আলী,৫৭০০৫৪৩৭৪২৬৮,মোঃ ফকির মহাম্মদ,হালিমা খাতুন,১২/১২/১৯৬০,কৃষক,মহিষাখোলা, গাংনী, মেহেরপুর</t>
  </si>
  <si>
    <t>০৯৯,মোঃ সাইফুল ইসলাম,৫৭০০৫৪৩৭৪২৬৯,মোঃ আবুল কাশেম,মোছাঃ নূরজাহান বেগম,২১/১০/১৯৮৪,ছাত্র/ছাত্রী,মহিষাখোলা, গাংনী, মেহেরপুর</t>
  </si>
  <si>
    <t>১০০,মোঃ ইয়াসিন আলী,৫৭০০৫৪৩৭৪২৭০,মোঃ আবুল কাশেম,মোছাঃ নূরজাহান বেগম,০৮/০৬/১৯৮২,ব্যবসা,মহিষাখোলা, গাংনী, মেহেরপুর</t>
  </si>
  <si>
    <t>১০১,মোঃ ছামসুল হক,৫৭০০৫৪৩৭৪২৭১,রহমতুল্লাহ,মোছাঃ গলেনূর খাতুন,২৫/১২/১৯৬৭,কৃষক,মহিষাখোলা, গাংনী, মেহেরপুর</t>
  </si>
  <si>
    <t>১০২,মোঃ জবেদ আলী,৫৭০০৫৪৩৭৪২৭২,খেজমত আলী,মোছাঃ পাঁচিরন নেছা,১২/০৩/১৯৬৭,কৃষক,মহিষাখোলা, গাংনী, মেহেরপুর</t>
  </si>
  <si>
    <t>১০৩,মোঃ ফারুক হোসেন,৫৭০০৫৪৩৭৪২৭৬,মোঃ রেজাউল হক,মোছাঃ আবেদা খাতুন,১৪/০৭/১৯৮৮,কৃষক,মহিষাখোলা, গাংনী, মেহেরপুর</t>
  </si>
  <si>
    <t>১০৪,মোঃ আনারুল ইসলাম,৫৭০০৫৪৩৭৪২৭৭,মোঃ আকছার মন্ডল,আনোয়ারা খাতুন,০৭/০৪/১৯৬৭,শ্রমিক,মহিষাখোলা, গাংনী, মেহেরপুর</t>
  </si>
  <si>
    <t>১০৫,মোঃ রফিকুল ইসলাম,৫৭০০৫৪৩৭৪২৭৯,মোঃ আজাদ বকস মন্ডল,মোছাঃ হাওয়া খাতুন,২৬/০৯/১৯৬২,কৃষক,মহিষাখোলা, গাংনী, মেহেরপুর</t>
  </si>
  <si>
    <t>১০৬,মোঃ রমজান আলী,৫৭০০৫৪৩৭৪২৮০,মোঃ আজাদ বকস মন্ডল,মোছাঃ হাওয়া খাতুন,০৫/০৯/১৯৮০,কৃষক,মহিষাখোলা, গাংনী, মেহেরপুর</t>
  </si>
  <si>
    <t>১০৭,মোঃ হাফিজুল ইসলাম,৫৭০০৫৪৩৭৪২৮৩,মোঃ আকবার আলী,মোছাঃ খালেদা খাতুন,১০/০৪/১৯৮৬,কৃষক,মহিষাখোলা, গাংনী, মেহেরপুর</t>
  </si>
  <si>
    <t>১০৮,মোঃ সমসের আলী,৫৭০০৫৪৩৭৪২৮৫,মোঃ গোলাম রসুল,মোছাঃ সৃজন বিবি,০৬/১০/১৯৬৬,ব্যবসা,মহিষাখোলা, গাংনী, মেহেরপুর</t>
  </si>
  <si>
    <t>১০৯,মোঃ আঃ কুদ্দুস,৫৭০০৫৪৩৭৪২৮৮,মওলা বকস,রেকমান নেছা,০৪/০৭/১৯৬০,কৃষক,মহিষাখোলা, গাংনী, মেহেরপুর</t>
  </si>
  <si>
    <t>১১০,মোঃ কদর আলী,৫৭০০৫৪৩৭৪২৯১,মোঃ আবেদ আলী,মোছাঃ বেদানা খাতুন,০৫/০৯/১৯৮৪,শ্রমিক,মহিষাখোলা, গাংনী, মেহেরপুর</t>
  </si>
  <si>
    <t>১১১,মোঃ ছুরমান আলী,৫৭০০৫৪৩৭৪২৯২,মজহার আলী,মোছাঃ জাহানারা বেগম,১২/০৫/১৯৭৭,শ্রমিক,মহিষাখোলা, গাংনী, মেহেরপুর</t>
  </si>
  <si>
    <t>১১২,মোঃ হাসান আলী,৫৭০০৫৪৩৭৪২৯৩,মোঃ ইউছুব আলী,মোছাঃ হাওয়া খাতুন,৩১/১২/১৯৮০,কৃষক,মহিষাখোলা, গাংনী, মেহেরপুর</t>
  </si>
  <si>
    <t>১১৩,মোঃ আঃ করিম,৫৭০০৫৪৩৭৪২৯৪,মোঃ সামসুল হক,আছিয়া বেগম,১০/০৫/১৯৬৯,শ্রমিক,মহিষাখোলা, গাংনী, মেহেরপুর</t>
  </si>
  <si>
    <t>১১৪,মোঃ হুমায়ন,৫৭০০৫৪৩৭৪২৯৫,মোঃ আঃ কুদ্দুস,মোছাঃ জোসনা খাতুন,১৫/১০/১৯৭৯,কৃষক,মহিষাখোলা, গাংনী, মেহেরপুর</t>
  </si>
  <si>
    <t>১১৫,মোহাম্মদ কামরুল ইসলাম,৫৭০০৫৪৩৭৪২৯৮,শামসুল,আলতাফুন নেছা,০৬/১০/১৯৮৬,কৃষক,মহিষাখোলা, গাংনী, মেহেরপুর</t>
  </si>
  <si>
    <t>১১৬,মোঃ আঃ মজিদ,৫৭০০৫৪৩৭৪৩০০,মোঃ ঈমান আলী,মোছাঃ ছাপাই খাতুন,০৮/১০/১৯৬৯,শ্রমিক,মহিষাখোলা, গাংনী, মেহেরপুর</t>
  </si>
  <si>
    <t>১১৭,মোঃ নজরুল ইসলাম,৫৭০০৫৪৩৭৪৪৯১,মোঃ বাদশা মন্ডল,মোছাঃ ফাতেমা খাতুন,১০/০৫/১৯৭২,কৃষক,মহিষাখোলা, গাংনী, মেহেরপুর</t>
  </si>
  <si>
    <t>১১৮,মোহাঃ মাহাতাব আলী,৫৭০০৫৪৩৭৪৫০১,এলাহী মন্ডল,মোছাঃ ওছিমা খাতুন,০২/১০/১৯৬৭,দিনমজুর,মহিষাখোলা, গাংনী, মেহেরপুর</t>
  </si>
  <si>
    <t>১১৯,মোঃ মনিরুল ইসলাম,৫৭০০৫৪৩৭৪৫০২,মোহাঃ আজাহার মন্ডল,মোছাঃ মিনিয়ারা খাতুন,০৭/০২/১৯৭২,রিক্সা/ভ্যান চালক,মহিষাখোলা, গাংনী, মেহেরপুর</t>
  </si>
  <si>
    <t>১২০,মোঃ আছের আলী,৫৭০০৫৪৩৭৪৫০৩,মোহাঃ শমসের আলী,মোছাঃ আছিয়া খাতুন,০৮/১০/১৯৭৩,কৃষক,মহিষাখোলা, গাংনী, মেহেরপুর</t>
  </si>
  <si>
    <t>১২১,মোহাঃ মহিদুল ইসলাম,৫৭০০৫৪৩৭৪৫০৪,মোঃ আমীরুদ্দিন,মোছাঃ হাওয়া খাতুন,০৮/১০/১৯৮৩,কৃষক,মহিষাখোলা, গাংনী, মেহেরপুর</t>
  </si>
  <si>
    <t>১২২,আব্দুল্লাহ আল মামুন,৫৭০০৫৪৩৭৪৫০৫,নুরুল ইসলাম,সাহানারা খাতুন,৩১/১২/১৯৭৯,ব্যবসা,মহিষাখোলা, গাংনী, মেহেরপুর</t>
  </si>
  <si>
    <t>১২৩,মোহাঃ ইসমাইল হোসেন,৫৭০০৫৪৩৭৪৫০৬,শুকুর আলী,সারা খাতুন,২১/১০/১৯৬৭,সরকারী চাকুরী,মহিষাখোলা, গাংনী, মেহেরপুর</t>
  </si>
  <si>
    <t>১২৪,মোঃ আব্দুস ছাত্তার,৫৭০০৫৪৩৭৪৫০৭,আরজুল্লা,ফতেজান,২৩/০৬/১৯৭২,শ্রমিক,মহিষাখোলা, গাংনী, মেহেরপুর</t>
  </si>
  <si>
    <t>১২৫,মোঃ মামুন-অর-রশিদ,৫৭০০৫৪৩৭৪৫০৮,মোঃ মজিবর রহমান,মোছাঃ রাজিয়া খাতুন,০৫/০৪/১৯৮৮,কৃষক,মহিষাখোলা, গাংনী, মেহেরপুর</t>
  </si>
  <si>
    <t>১২৬,মোঃ বন্টু আলী,৫৭০০৫৪৩৭৪৫০৯,খেদের আলী,মোছাঃ ফাতেমা খাতুন,১০/০২/১৯৮৭,ব্যবসা,মহিষাখোলা, গাংনী, মেহেরপুর</t>
  </si>
  <si>
    <t>১২৭,মোঃ হোসেন আলী,৫৭০০৫৪৩৭৪৫১০,মোঃ ইউসুফ আলী,মোছাঃ হাওয়া খাতুন,১০/০২/১৯৮২,দিনমজুর,মহিষাখোলা, গাংনী, মেহেরপুর</t>
  </si>
  <si>
    <t>১২৮,মোঃ রফিকুল ইসলাম,৫৭০০৫৪৩৭৪৫১১,মোতালেব,মোছাঃ হামিদা খাতুন,২১/০৯/১৯৬৫,শ্রমিক,মহিষাখোলা, গাংনী, মেহেরপুর</t>
  </si>
  <si>
    <t>১২৯,মোঃ খেজমত আলী,৫৭০০৫৪৩৭৪৫১৪,আব্দুল সেখ,পইরন নেছা,২৫/০৩/১৯৬১,শ্রমিক,মহিষাখোলা, গাংনী, মেহেরপুর</t>
  </si>
  <si>
    <t>১৩০,মোঃ জাকিরুল ইসলাম,৫৭০০৫৪৩৭৪৫১৫,এলাহী বকস,মোছাঃ ওসিমা খাতুন,১০/০৬/১৯৭১,শ্রমিক,মহিষাখোলা, গাংনী, মেহেরপুর</t>
  </si>
  <si>
    <t>১৩১,মোঃ ফয়জাল হোসেন,৫৭০০৫৪৩৭৪৫১৬,মঞ্জুহার মন্ডল,মোছাঃ জাহানারা খাতুন,১৭/০৯/১৯৮২,শ্রমিক,মহিষাখোলা, গাংনী, মেহেরপুর</t>
  </si>
  <si>
    <t>১৩২,মোঃ উজ্জ্বল হোসেন,৫৭০০৫৪৩৭৪৫১৭,মোঃ আমজাদ হোসেন,মোছাঃ তহুরা বেগম,১০/০২/১৯৮৩,বেসরকারী চাকুরী,মহিষাখোলা, গাংনী, মেহেরপুর</t>
  </si>
  <si>
    <t>১৩৩,মোঃ মুরাদ আলী,৫৭০০৫৪৩৭৪৫১৮,ছিয়ামুদ্দীন,মোছাঃ মজিরন নেছা,১০/০৫/১৯৭৭,কৃষক,মহিষাখোলা, গাংনী, মেহেরপুর</t>
  </si>
  <si>
    <t>১৩৪,মোঃ আকরাম আলী,৫৭০০৫৪৩৭৪৫২২,তুষ্ট মন্ডল,নূরজাহান,১০/০২/১৯৬২,দিনমজুর,মহিষাখোলা, গাংনী, মেহেরপুর</t>
  </si>
  <si>
    <t>১৩৫,মোঃ সোলাইমান হোসেন,৫৭০০৫৪৩৭৪৫২৩,মোঃ মুনছুর আলী,মোছাঃ নূরজাহান খাতুন,১৫/০২/১৯৭৮,কৃষক,মহিষাখোলা, গাংনী, মেহেরপুর</t>
  </si>
  <si>
    <t>১৩৬,মোঃ শামিম রেজা,৫৭০০৫৪৩৭৪৫২৪,মোঃ ওয়াদুদ আলী,মোছাঃ হামেদা খাতুন,২০/০৯/১৯৮৩,কৃষক,মহিষাখোলা, গাংনী, মেহেরপুর</t>
  </si>
  <si>
    <t>১৩৭,মোঃ আব্দুল মজিদ,৫৭০০৫৪৩৭৪৫২৬,ফরমান মন্ডল,মোছাঃ কিতারন খাতুন,১৯/০৬/১৯৫০,শ্রমিক,মহিষাখোলা, গাংনী, মেহেরপুর</t>
  </si>
  <si>
    <t>১৩৮,মোঃ তহিরদ্দিন,৫৭০০৫৪৩৭৪৫২৭,মোঃ মহিনদ্দিন,মোছাঃ হাজেলা খাতুন,১৩/০৭/১৯৬৬,দিনমজুর,মহিষাখোলা, গাংনী, মেহেরপুর</t>
  </si>
  <si>
    <t>১৩৯,মোহাঃ শরিফদ্দিন,৫৭০০৫৪৩৭৪৫৩০,তাহাজ উদ্দিন,মোছাঃ সফুরা খাতুন,২৫/০৬/১৯৬৫,কৃষক,মহিষাখোলা, গাংনী, মেহেরপুর</t>
  </si>
  <si>
    <t>১৪০,মোঃ ফজলুল হক,৫৭০০৫৪৩৭৪৫৩৩,মোঃ ফয়েজ উদ্দীন,মোছাঃ রেজিয়া খাতুন,২৩/০৯/১৯৬২,কৃষক,মহিষাখোলা, গাংনী, মেহেরপুর</t>
  </si>
  <si>
    <t>১৪১,মোঃ মুনছুর আলী,৫৭০০৫৪৩৭৪৫৩৪,রনজিৎ বিশ্বাস,খুকি বিবি,০৫/১০/১৯৪২,কৃষক,ধানখোলা, গাংনী, মেহেরপুর</t>
  </si>
  <si>
    <t>১৪২,মোঃ ফরজ আলী,৫৭০০৫৪৩৭৪৫৩৭,আত্তাব আলী মন্ডল,মোছাঃ হামেদা খাতুন,১৫/০৫/১৯৮২,ব্যবসা,মহিষাখোলা, গাংনী, মেহেরপুর</t>
  </si>
  <si>
    <t>১৪৩,মোঃ আঃ মজিদ,৫৭০০৫৪৩৭৪৫৪,মোঃ মওলা বকস,সুরাজ বিবি,১০/০২/১৯৬৪,শ্রমিক,মহিষাখোলা, গাংনী, মেহেরপুর</t>
  </si>
  <si>
    <t>১৪৪,মোঃ লুৎফর রহমান,৫৭০০৫৪৩৭৪৫৪,তুষ্ট মন্ডল,নূরজাহান,২৪/০৩/১৯৫২,শ্রমিক,মহিষাখোলা, গাংনী, মেহেরপুর</t>
  </si>
  <si>
    <t>১৪৫,মোঃ পলাশ আলী,৫৭০০৫৪৩৭৪৫৪,মোঃ রবগুল আলী,রহিদা খাতুন,১০/০৭/১৯৮৬,শ্রমিক,মহিষাখোলা, গাংনী, মেহেরপুর</t>
  </si>
  <si>
    <t>১৪৬,মোঃ রেজাউল হক,৫৭০০৫৪৩৭৪৫৪,মেহের আলী,সারা খাতুন,১৭/০৬/১৯৭১,দিনমজুর,মহিষাখোলা, গাংনী, মেহেরপুর</t>
  </si>
  <si>
    <t>১৪৭,মোঃ জাহিদুল ইসলাম,৫৭০০৫৪৩৭৪৫৪,মোঃ ফজলুল হক,মোছাঃ কহিনুর খাতুন,১৩/০৯/১৯৮৮,দিনমজুর,মহিষাখোলা, গাংনী, মেহেরপুর</t>
  </si>
  <si>
    <t>১৪৮,মোঃ মোক্তার আলী,৫৭০০৫৪৩৭৪৫৪,রবগুল মন্ডল,জেবন নেছা,১৩/১০/১৯৫৫,কৃষক,মহিষাখোলা, গাংনী, মেহেরপুর</t>
  </si>
  <si>
    <t>১৪৯,মোঃ নাসির উদ্দীন,৫৭০০৫৪৩৭৪৫৫,মোঃ আব্দুল খালেক,মোছাঃ সাহিদা খাতুন,১৩/০৮/১৯৭১,কৃষক,মহিষাখোলা, গাংনী, মেহেরপুর</t>
  </si>
  <si>
    <t>১৫০,মোঃ সহিদুল ইসলাম,৫৭০০৫৪৩৭৪৫৫,মোঃ ওমর আলী,মোছাঃ জাহানারা খাতুন,১৫/০৬/১৯৮৭,দিনমজুর,মহিষাখোলা, গাংনী, মেহেরপুর</t>
  </si>
  <si>
    <t>১৫১,মোঃ ফারুক আহমেদ,৫৭০০৫৪৩৭৪৫৫,মোঃ মোয়াজ্জেম হোসেন,মোছাঃ রাহিমা খাতুন,১৪/০৮/১৯৮০,কৃষক,মহিষাখোলা, গাংনী, মেহেরপুর</t>
  </si>
  <si>
    <t>১৫২,মোঃ নজরুল ইসলাম,৫৭০০৫৪৩৭৪৫৫,মোঃ জাদু মন্ডল,মোছাঃ মজিরন খাতুন,১০/১১/১৯৬৭,কৃষক,মহিষাখোলা, গাংনী, মেহেরপুর</t>
  </si>
  <si>
    <t>১৫৩,মোঃ হাসানুজ্জামান উজ্জ্বল,৫৭০০৫৪৩৭৪৫৫,মোঃ আবু বকর সিদ্দিক,মোছাঃ রওশনারা বেগম,৩১/১২/১৯৮৭,কৃষক,মহিষাখোলা, গাংনী, মেহেরপুর</t>
  </si>
  <si>
    <t>১৫৪,মোঃ আরিফুল ইসলাম,৫৭০০৫৪৩৭৪৫৫,মোঃ রুহুল আমীন,সাহেদা খাতুন,১৫/০২/১৯৮১,শ্রমিক,মহিষাখোলা, গাংনী, মেহেরপুর</t>
  </si>
  <si>
    <t>১৫৫,মোঃ জামিরুল ইসলাম,৫৭০০৫৪৩৭৪৫৬,মোঃ জামাত আলী,মোছাঃ নূরন্নাহার বেগম,০১/০৫/১৯৮১,ব্যবসা,মহিষাখোলা, গাংনী, মেহেরপুর</t>
  </si>
  <si>
    <t>১৫৬,মোঃ মুনছুর আলী,৫৭০০৫৪৩৭৪৫৬,আবুল হোসেন,ছুরাতন নেছা,২০/০৪/১৯৬০,শ্রমিক,মহিষাখোলা, গাংনী, মেহেরপুর</t>
  </si>
  <si>
    <t>১৫৭,মোঃ বজলু হক,৫৭০০৫৪৩৭৪৫৬,মোঃ ফয়জদ্দি মল্লিক,মোছাঃ রেজিয়া খাতুন,১২/১০/১৯৬৭,দিনমজুর,মহিষাখোলা, গাংনী, মেহেরপুর</t>
  </si>
  <si>
    <t>১৫৮,মোঃ জসিম উদ্দীন,৫৭০০৫৪৩৭৪৫৭,মোঃ জামাত আলী,মোছাঃ নূরুন্নাহার বেগম,২৬/০১/১৯৮৯,বেকার,মহিষাখোলা, গাংনী, মেহেরপুর</t>
  </si>
  <si>
    <t>১৫৯,মোঃ ইয়াকুব আলী,৫৭০০৫৪৩৭৪৫৭,মোঃ নজের আলী,মোছাঃ মেহেরুন্নেছা,১০/১০/১৯৭২,কৃষক,মহিষাখোলা, গাংনী, মেহেরপুর</t>
  </si>
  <si>
    <t>১৬০,মোঃ এনামুল হক,৫৭০০৫৪৩৭৪৫৭,ছিদ্দিক আলী,মোছাঃ শাহানারা বেগম,১৩/১০/১৯৮৭,দিনমজুর,মহিষাখোলা, গাংনী, মেহেরপুর</t>
  </si>
  <si>
    <t>১৬১,মোঃ মশিউর রহমান,৫৭০০৫৪৩৭৪৫৭,মোঃ মজিবরুল ইসলাম,মোছাঃ মুর্শিদা খাতুন,১৫/০৬/১৯৮৮,দিনমজুর,মহিষাখোলা, গাংনী, মেহেরপুর</t>
  </si>
  <si>
    <t>১৬২,মোঃ ছমির উদ্দীন,৫৭০০৫৪৩৭৪৫৭,মোঃ ছুবান সেখ,মোছাঃ রহিদা খাতুন,৩১/১২/১৯৭৩,কৃষক,মহিষাখোলা, গাংনী, মেহেরপুর</t>
  </si>
  <si>
    <t>১৬৩,মোঃ আঃ হালিম,৫৭০০৫৪৩৭৪৫৮,মোঃ দোয়াত আলী,মোছাঃ হালিমা খাতুন,২০/০৩/১৯৮৭,কৃষক,মহিষাখোলা, গাংনী, মেহেরপুর</t>
  </si>
  <si>
    <t>১৬৪,মোঃ জাকারিয়া,৫৭০০৫৪৩৭৪৫৮,মোঃ আনারুল ইসলাম,মোছাঃ সাহেদা খাতুন,০৫/১০/১৯৮৬,কৃষক,মহিষাখোলা, গাংনী, মেহেরপুর</t>
  </si>
  <si>
    <t>১৬৫,মোঃ মুনতাজ আলী,৫৭০০৫৪৩৭৪৫৮,আবুল মন্ডল,ছুরাতন খাতুন,২০/০৬/১৯৬২,কৃষক,মহিষাখোলা, গাংনী, মেহেরপুর</t>
  </si>
  <si>
    <t>১৬৬,মোঃ তোফাজ্জেল আলী,৫৭০০৫৪৩৭৪৫৮,মোঃ আব্দুল রহমান,মোছাঃ নিমিজান খাতুন,১০/০৫/১৯৭৮,ব্যবসা,মহিষাখোলা, গাংনী, মেহেরপুর</t>
  </si>
  <si>
    <t>১৬৭,মোঃ শফিউল ইসলাম,৫৭০০৫৪৩৭৪৫৯,মোঃ মুনছার আলী,মোছাঃ সাজেদা খাতুন,১২/০৯/১৯৮৬,কৃষক,মহিষাখোলা, গাংনী, মেহেরপুর</t>
  </si>
  <si>
    <t>১৬৮,মোঃ বাবুর আলী,৫৭০০৫৪৩৭৪৫৯,মোঃ হায়াত আলী,মোছাঃ ছুরাতন নেছা,১৫/০৬/১৯৭০,শ্রমিক,মহিষাখোলা, গাংনী, মেহেরপুর</t>
  </si>
  <si>
    <t>১৬৯,মোঃ জিনারুল ইসলাম,৫৭০০৫৪৩৭৪৬৪,মোঃ আঃ রাজ্জাক,মোছাঃ নিহারন নেছা,২০/০৭/১৯৮০,শ্রমিক,মহিষাখোলা, গাংনী, মেহেরপুর</t>
  </si>
  <si>
    <t>১৭০,মোঃ আরিফুল ইসলাম,৫৭০০৫৪৩৭৪৬৪,মোঃ হামিদুল ইসলাম,মোছাঃ আরজিনা খাতুন,১০/১২/১৯৮৮,কৃষক,মহিষাখোলা, গাংনী, মেহেরপুর</t>
  </si>
  <si>
    <t>১৭১,মোঃ ইদ্রিস আলী,৫৭০০৫৪৩৭৪৬৪,মোঃ হায়াত আলী,মোছাঃ ছুরাতন নেছা,১৫/০৫/১৯৬২,কৃষক,মহিষাখোলা, গাংনী, মেহেরপুর</t>
  </si>
  <si>
    <t>১৭২,মোঃ আনারুল,৫৭০০৫৪৩৭৪৬৪,মোঃ সামসুল হক,মোছাঃ তছলিমা খাতুন,২০/০৭/১৯৬২,কৃষক,মহিষাখোলা, গাংনী, মেহেরপুর</t>
  </si>
  <si>
    <t>১৭৩,মোঃ রাশিদুল ইসলাম,৫৭০০৫৪৩৭৪৬৫,মোঃ ইসলাম,মোছাঃ আছিয়া খাতুন,১০/০৬/১৯৮৮,দিনমজুর,মহিষাখোলা, গাংনী, মেহেরপুর</t>
  </si>
  <si>
    <t>১৭৪,মোঃ মিন্টু আলী,৫৭০০৫৪৩৭৪৬৫,মোঃ জমির উদ্দীন,মোছাঃ রেজিয়া খাতুন,২০/০৬/১৯৮৫,দিনমজুর,মহিষাখোলা, গাংনী, মেহেরপুর</t>
  </si>
  <si>
    <t>১৭৫,মোঃ শফিকুল ইসলাম,৫৭০০৫৪৩৭৪৬৫,মোঃ আফসার আলী,আমেনা খাতুন,১০/০২/১৯৭৩,কৃষক,মহিষাখোলা, গাংনী, মেহেরপুর</t>
  </si>
  <si>
    <t>১৭৬,মোঃ মিনারুল,৫৭০০৫৪৩৭৪৬৫,আঃ রাজ্জাক,নিহারন,০৫/০২/১৯৮৯,কৃষক,মহিষাখোলা, গাংনী, মেহেরপুর</t>
  </si>
  <si>
    <t>১৭৭,মোঃ সামসুল হক,৫৭০০৫৪৩৭৪৬৬,মহাতাব উদ্দীন,জিলাফন নেছা,২৫/০৩/১৯৪৭,কৃষক,মহিষাখোলা, গাংনী, মেহেরপুর</t>
  </si>
  <si>
    <t>১৭৮,মোঃ জহুরুল ইসলাম,৫৭০০৫৪৩৭৪৬৮,হারুন অর রশিদ,মোছাঃ খাতেমা খাতুন,১০/১০/১৯৭৯,কৃষক,মহিষাখোলা, গাংনী, মেহেরপুর</t>
  </si>
  <si>
    <t>১৭৯,মোহাঃ লিয়াকত আলী,৫৭০০৫৪৩৭৫০০৯,হারুন অর রশিদ,মোছাঃ খাতেমা খাতুন,০৭/১১/১৯৭০,দিনমজুর,মহিষাখোলা, গাংনী, মেহেরপুর</t>
  </si>
  <si>
    <t>১৮০,মোহাঃ আব্দুর রহিম,৫৭০০৫৪৩৭৫০১১,শাহাদত শেখ,মোছাঃ টলোজান নেছা,০৫/০৩/১৯৫৫,কৃষক,মহিষাখোলা, গাংনী, মেহেরপুর</t>
  </si>
  <si>
    <t>১৮১,মোহাঃ জালাল উদ্দীন,৫৭০০৫৪৩৭৫০১২,মোহাঃ আব্দুর রহিম,মোছাঃ বানুয়ারা খাতুন,০১/০৬/১৯৮১,দিনমজুর,মহিষাখোলা, গাংনী, মেহেরপুর</t>
  </si>
  <si>
    <t>১৮২,মোঃ ওসমান আলী,৫৭০০৫৪৩৭৫০১৫,ফেলু শেখ,মোছাঃ ছদিমন নেছা,০৫/১০/১৯৫৭,কৃষক,মহিষাখোলা, গাংনী, মেহেরপুর</t>
  </si>
  <si>
    <t>১৮৩,মোহাঃ আকিরুল ইসলাম,৫৭০০৫৪৩৭৫০১৭,মোহাঃ ওসমান আলী,মোছাঃ রাফিজা খাতুন,১৭/১০/১৯৮৮,দিনমজুর,মহিষাখোলা, গাংনী, মেহেরপুর</t>
  </si>
  <si>
    <t>১৮৪,মোহাঃ খলিলুর রহমান,৫৭০০৫৪৩৭৫০১৯,শাহাদত শেখ,মোছাঃ টলোজান নেছা,১০/০২/১৯৬৭,কৃষক,মহিষাখোলা, গাংনী, মেহেরপুর</t>
  </si>
  <si>
    <t>১৮৫,মোহাঃ তানভীর আহাম্মেদ,৫৭০০৫৪৩৭৫০২০,মোহাঃ আহমেদ কবীর,মোছাঃ আঞ্জুমানা খাতুন,০১/০৬/১৯৭৯,শিক্ষক,মহিষাখোলা, গাংনী, মেহেরপুর</t>
  </si>
  <si>
    <t>১৮৬,মোঃ রফিকুল ইসলাম,৫৭০০৫৪৩৭৫০২২,শাহাদত হোসেন,মোছাঃ টলোজান নেছা,২৫/০৮/১৯৬৯,ব্যবসা,মহিষাখোলা, গাংনী, মেহেরপুর</t>
  </si>
  <si>
    <t>১৮৭,মোহাঃ শামীম রেজা,৫৭০০৫৪৩৭৫০২৩,মোহাঃ আব্দুল করিম,মোছাঃ লতিফন নেছা,০৫/০৭/১৯৮০,ব্যবসা,মহিষাখোলা, গাংনী, মেহেরপুর</t>
  </si>
  <si>
    <t>১৮৮,মোহাঃ আব্দুল করিম,৫৭০০৫৪৩৭৫০২৫,শাহাদত শেখ,মোছাঃ টলোজান নেছা,১০/১১/১৯৫৫,ব্যবসা,মহিষাখোলা, গাংনী, মেহেরপুর</t>
  </si>
  <si>
    <t>১৮৯,মোঃ বারেক আলী,৫৭০০৫৪৩৭৫০২৬,মোহাঃ আব্দুর রহমান,মোছাঃ নিমিজান,০৩/০৬/১৯৬৮,কৃষক,মহিষাখোলা, গাংনী, মেহেরপুর</t>
  </si>
  <si>
    <t>১৯০,মোঃ মোফাজ্জেল হোসেন,৫৭০০৫৪৩৭৫০২৭,মোহাঃ আব্দুর রহমান,মোছাঃ নিমিজান নেছা,০৩/০৬/১৯৮০,কৃষক,মহিষাখোলা, গাংনী, মেহেরপুর</t>
  </si>
  <si>
    <t>১৯১,মোহাঃ আব্দুর রহমান,৫৭০০৫৪৩৭৫০৩১,মোজাহায় আলী,মোছাঃ আবেদা খাতুন,০৫/০৬/১৯৪০,কৃষক,মহিষাখোলা, গাংনী, মেহেরপুর</t>
  </si>
  <si>
    <t>১৯২,মোহাঃ আক্তারুল ইসলাম,৫৭০০৫৪৩৭৫০৩৮,মোহাঃ ফুলচুর আলী,মোছাঃ মনোয়ারা খাতুন,১০/০৯/১৯৮৭,দিনমজুর,মহিষাখোলা, গাংনী, মেহেরপুর</t>
  </si>
  <si>
    <t>১৯৩,মোঃ আপেল আলী,৫৭০০৫৪৩৭৫০৪১,মোহাঃ মেহের আলী,মোছাঃ হাসেনা খাতুন,১৫/০৮/১৯৮৮,মিস্ত্রী,মহিষাখোলা, গাংনী, মেহেরপুর</t>
  </si>
  <si>
    <t>১৯৪,মোঃ আব্দুল জলিল,৫৭০০৫৪৩৭৫০৪৪,শাহাদত শেখ,মোছাঃ টলোজান নেছা,১৫/১০/১৯৬২,কৃষক,মহিষাখোলা, গাংনী, মেহেরপুর</t>
  </si>
  <si>
    <t>১৯৫,মোহাঃ আবুল বাসার,৫৭০০৫৪৩৭৫০৪৫,আহাদ আলী শেখ,মোছাঃ আছিয়া খাতুন,৩০/০৯/১৯৫৫,কৃষক,মহিষাখোলা, গাংনী, মেহেরপুর</t>
  </si>
  <si>
    <t>১৯৬,মোহাঃ ইনাকুল ইসলাম,৫৭০০৫৪৩৭৫০৪৯,মোহাঃ হাসেম আলী,মোছাঃ আছিয়া খাতুন,০৬/০৮/১৯৮১,দিনমজুর,মহিষাখোলা, গাংনী, মেহেরপুর</t>
  </si>
  <si>
    <t>১৯৭,মোহাঃ মেহের আলী,৫৭০০৫৪৩৭৫০৫০,মোজাহার মন্ডল,মোছাঃ আবেদা খাতুন,১০/০৪/১৯৪২,দিনমজুর,মহিষাখোলা, গাংনী, মেহেরপুর</t>
  </si>
  <si>
    <t>১৯৮,মোঃ জিনারুল ইসলাম,৫৭০০৫৪৩৭৫০৫২,মোহাঃ হাসেম আলী,মোছাঃ আছিয়া খাতুন,২৪/০২/১৯৮৬,দর্জি,মহিষাখোলা, গাংনী, মেহেরপুর</t>
  </si>
  <si>
    <t>১৯৯,মোহাঃ মহিবুল ইসলাম,৫৭০০৫৪৩৭৫০৫৩,মোহাঃ হাসেম আলি,মোছাঃ আছিয়া খাতুন,১১/১১/১৯৮০,কৃষক,মহিষাখোলা, গাংনী, মেহেরপুর</t>
  </si>
  <si>
    <t>২০০,মোহাঃ মোজাম্মেল হক,৫৭০০৫৪৩৭৫০৫৪,মোফাজ্জেল-অর-রশিদ,মোছাঃ আছিয়া খাতুন,১০/১২/১৯৬০,দিনমজুর,মহিষাখোলা, গাংনী, মেহেরপুর</t>
  </si>
  <si>
    <t>২০১,মোহাঃ কাউছার আলী,৫৭০০৫৪৩৭৫০৫৫,হারুন-অর-রশিদ,মোছাঃ খাতেমা খাতুন,১০/০৮/১৯৭২,মিস্ত্রী,মহিষাখোলা, গাংনী, মেহেরপুর</t>
  </si>
  <si>
    <t>২০২,মোঃ মানিক আলি,৫৭০০৫৪৩৭৫০৫৬,সিরাজ উদ্দিন শেখ,মোছাঃ সাহেরা খাতুন,১৮/১০/১৯৭৭,মিস্ত্রী,মহিষাখোলা, গাংনী, মেহেরপুর</t>
  </si>
  <si>
    <t>২০৩,মোঃ ফুলচুর আলী,৫৭০০৫৪৩৭৫০৫৭,জুবান খামারু,মোছাঃ সায়বন নাহার,১০/০৯/১৯৫৭,কৃষক,মহিষাখোলা, গাংনী, মেহেরপুর</t>
  </si>
  <si>
    <t>২০৪,মোহাঃ সাবুর আলী,৫৭০০৫৪৩৭৫০৫৯,মোহাঃ হায়াত আলী,মোছাঃ সুরাতন খাতুন,০৫/০৭/১৯৭২,দর্জি,মহিষাখোলা, গাংনী, মেহেরপুর</t>
  </si>
  <si>
    <t>২০৫,মোহাঃ আনারুল ইসলাম,৫৭০০৫৪৩৭৫০৬০,মোহাঃ জাদু মন্ডল,মোছাঃ মজিরন খাতুন,১৭/০৫/১৯৭৭,কৃষক,মহিষাখোলা, গাংনী, মেহেরপুর</t>
  </si>
  <si>
    <t>২০৬,মোহাঃ শফিকুল ইসলাম,৫৭০০৫৪৩৭৫০৬১,মোহাঃ জাদু মন্ডল,মোছাঃ মজিরন নেছা,০২/০৪/১৯৭৭,ব্যবসা,মহিষাখোলা, গাংনী, মেহেরপুর</t>
  </si>
  <si>
    <t>২০৭,মোহাঃ মতিয়ার রহমান,৫৭০০৫৪৩৭৫০৬৩,সুরাত মন্ডল,জরিনা খাতুন,০৫/০৬/১৯৬৭,দিনমজুর,মহিষাখোলা, গাংনী, মেহেরপুর</t>
  </si>
  <si>
    <t>২০৮,মোঃ ইয়ারুল ইসলাম,৫৭০০৫৪৩৭৫০৬৫,মোঃ ঈমান মন্ডল,মোছাঃ ছাপায় খাতুন,০৬/০৭/১৯৮৩,দিনমজুর,মহিষাখোলা, গাংনী, মেহেরপুর</t>
  </si>
  <si>
    <t>২০৯,মোহাঃ জিয়াউল,৫৭০০৫৪৩৭৫০৬৭,মোহাঃ যাদু মন্ডল,মোছাঃ মজিরন নেছা,১০/০৯/১৯৮১,ব্যবসা,মহিষাখোলা, গাংনী, মেহেরপুর</t>
  </si>
  <si>
    <t>২১০,মোহাঃ সুন্নত আলী,৫৭০০৫৪৩৭৫০৬৯,মোহাঃ শমসের আলী,মোছা আছিয়া খাতুন,২২/০৯/১৯৮২,কৃষক,মহিষাখোলা, গাংনী, মেহেরপুর</t>
  </si>
  <si>
    <t>২১১,মোহাঃ আব্দুল খালেক,৫৭০০৫৪৩৭৫০৭৪,খেজমত আলী,মোছাঃ পাঁচিরন নেছা,০১/০৭/১৯৭৭,কৃষক,মহিষাখোলা, গাংনী, মেহেরপুর</t>
  </si>
  <si>
    <t>২১২,মোহাঃ মুনাজাত আলী,৫৭০০৫৪৩৭৫০৭৮,মোহাঃ শামসের আলী,মোছাঃ আছিয়া খাতুন,০৮/১২/১৯৭৬,ব্যবসা,মহিষাখোলা, গাংনী, মেহেরপুর</t>
  </si>
  <si>
    <t>২১৩,মোহাঃ হযরত আলী,৫৭০০৫৪৩৭৫০৮০,ফকির মন্ডল,মোছাঃ জাইরা খাতুন,২৫/১০/১৯৭১,রিক্সা/ভ্যান চালক,মহিষাখোলা, গাংনী, মেহেরপুর</t>
  </si>
  <si>
    <t>২১৪,মোঃ নূহু ইসলাম,৫৭০০৫৪৩৭৫০৮১,ফকির মন্ডল,মোছাঃ জাইরা খাতুন,১০/১০/১৯৭৩,রিক্সা/ভ্যান চালক,মহিষাখোলা, গাংনী, মেহেরপুর</t>
  </si>
  <si>
    <t>২১৫,মোঃ আশরাফ আলী,৫৭০০৫৪৩৭৫০৮৫,মোহাঃ শমসের আলী,মোছাঃ আছিয়া খাতুন,৩১/১০/১৯৬২,ব্যবসা,মহিষাখোলা, গাংনী, মেহেরপুর</t>
  </si>
  <si>
    <t>২১৬,মোঃ মোবারক আলী,৫৭০০৫৪৩৭৫০৮৬,মোহাঃ শমসের আলী,মোছাঃ আছিয়া খাতুন,৩১/১০/১৯৬৭,কৃষক,মহিষাখোলা, গাংনী, মেহেরপুর</t>
  </si>
  <si>
    <t>২১৭,মোহাঃ ইয়ারুল ইসলাম,৫৭০০৫৪৩৭৫০৮৮,মোহাঃ শমসের আলী,মোছাঃ আছিয়া খাতুন,০১/১২/১৯৮৪,কৃষক,মহিষাখোলা, গাংনী, মেহেরপুর</t>
  </si>
  <si>
    <t>২১৯,মোহাঃ আশরাফুল ইসলাম,৫৭০০৫৪৩৭৫০৯৪,মোহাঃ আব্দুর রহমান,মোছাঃ মার্জিয়া খাতুন,২০/০৫/১৯৮১,ব্যবসা,মহিষাখোলা, গাংনী, মেহেরপুর</t>
  </si>
  <si>
    <t>২২০,মোঃ মিনারুল ইসলাম,৫৭০০৫৪৩৭৫০৯৬,মোহাঃ গোলাম রসুল,মোছাঃ সুফিয়া খাতুন,১০/০৩/১৯৮১,কৃষক,মহিষাখোলা, গাংনী, মেহেরপুর</t>
  </si>
  <si>
    <t>২২১,মোঃ বাশিরুজ্জামান,৫৭০০৫৪৩৭৫১০১,মোঃ আবুতালিব,মোছাঃ বাচেনা খাতুন,০৩/০২/১৯৮৮,ছাত্র/ছাত্রী,মহিষাখোলা, গাংনী, মেহেরপুর</t>
  </si>
  <si>
    <t>২২২,মোহাঃ সহিরুল ইসলাম,৫৭০০৫৪৩৭৫১০৪,মোহাঃ আজাহার মন্ডল,মোছাঃ মিনিয়ারা খাতুন,০৮/০৬/১৯৮২,কৃষক,মহিষাখোলা, গাংনী, মেহেরপুর</t>
  </si>
  <si>
    <t>২২৩,মোঃ নাসিরুল ইসলাম,৫৭০০৫৪৩৭৫১০৬,মোহাঃ আজাহার মন্ডল,মোছাঃ মিনিয়ারা খাতুন,১০/১০/১৯৭৭,ব্যবসা,মহিষাখোলা, গাংনী, মেহেরপুর</t>
  </si>
  <si>
    <t>২২৪,মোহাঃ মিজানুর রহমান,৫৭০০৫৪৩৭৫১০৯,মোহাঃ গোলাম রসুল,মোছাঃ সুফিয়া খাতুন,১৮/০২/১৯৭৮,ব্যবসা,মহিষাখোলা, গাংনী, মেহেরপুর</t>
  </si>
  <si>
    <t>২২৫,মোহাঃ ফজলুল হক,৫৭০০৫৪৩৭৫১১১,মোহাঃ আব্দুর রহমান,মোছাঃ মার্জিয়া খাতুন,১৫/০৮/১৯৬৯,কৃষক,মহিষাখোলা, গাংনী, মেহেরপুর</t>
  </si>
  <si>
    <t>২২৬,মোঃ ইসমাইল হোসেন,৫৭০০৫৪৩৭৫১১২,মোহাঃ মুয়াজ্জেম হোসেন,মোছাঃ রাহিমা খাতুন,১৩/০৬/১৯৭২,কৃষক,মহিষাখোলা, গাংনী, মেহেরপুর</t>
  </si>
  <si>
    <t>২২৭,মোহাঃ মোয়াজ্জেম হোসেন,৫৭০০৫৪৩৭৫১১৪,জেহের মন্ডল,মোছাঃ নেকজান খাতুন,২৫/০৭/১৯৪৯,কৃষক,মহিষাখোলা, গাংনী, মেহেরপুর</t>
  </si>
  <si>
    <t>২২৮,মোঃ আঃ রাজ্জাক,৫৭০০৫৪৩৭৫১১৫,মোঃ মোয়াজ্জেম হোসেন,মোছাঃ রাহিমা খাতুন,০৫/১০/১৯৭৭,কৃষক,মহিষাখোলা, গাংনী, মেহেরপুর</t>
  </si>
  <si>
    <t>২২৯,মোঃ তারিকুল ইসলাম,৫৭০০৫৪৩৭৫১১৭,মোঃ মোয়াজ্জেম হোসেন,মোছাঃ রাহিমা খাতুন,৩০/০৬/১৯৮২,কৃষক,মহিষাখোলা, গাংনী, মেহেরপুর</t>
  </si>
  <si>
    <t>২৩০,মোহাঃ ঈমান আলী,৫৭০০৫৪৩৭৫১২২,মোজাহার শেখ,মোছাঃ আবেদা খাতুন,০৫/০৬/১৯৩৫,কৃষক,মহিষাখোলা, গাংনী, মেহেরপুর</t>
  </si>
  <si>
    <t>২৩১,মোঃ বাবলু হোসেন,৫৭০০৫৪৩৭৫১২৭,মোঃ সলেমান মন্ডল,মোছাঃ রাহেলা খাতুন,০৫/০৬/১৯৭৭,কৃষক,মহিষাখোলা, গাংনী, মেহেরপুর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</si>
</sst>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>
        <v>1.0</v>
      </c>
      <c r="B2" s="1" t="s">
        <v>8</v>
      </c>
      <c r="C2" s="1">
        <v>5.70054374003E11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ht="15.75" customHeight="1">
      <c r="A3" s="1">
        <v>2.0</v>
      </c>
      <c r="B3" s="1" t="s">
        <v>16</v>
      </c>
      <c r="C3" s="1">
        <v>5.70054374011E11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13</v>
      </c>
      <c r="I3" s="1" t="s">
        <v>14</v>
      </c>
      <c r="J3" s="1" t="s">
        <v>15</v>
      </c>
    </row>
    <row r="4" ht="15.75" customHeight="1">
      <c r="A4" s="1">
        <v>3.0</v>
      </c>
      <c r="B4" s="1" t="s">
        <v>21</v>
      </c>
      <c r="C4" s="1">
        <v>5.70054374018E11</v>
      </c>
      <c r="D4" s="1" t="s">
        <v>22</v>
      </c>
      <c r="E4" s="1" t="s">
        <v>23</v>
      </c>
      <c r="F4" s="1" t="s">
        <v>24</v>
      </c>
      <c r="G4" s="1" t="s">
        <v>20</v>
      </c>
      <c r="H4" s="1" t="s">
        <v>13</v>
      </c>
      <c r="I4" s="1" t="s">
        <v>14</v>
      </c>
      <c r="J4" s="1" t="s">
        <v>15</v>
      </c>
    </row>
    <row r="5" ht="15.75" customHeight="1">
      <c r="A5" s="1">
        <v>4.0</v>
      </c>
      <c r="B5" s="1" t="s">
        <v>25</v>
      </c>
      <c r="C5" s="1">
        <v>5.70054374019E11</v>
      </c>
      <c r="D5" s="1" t="s">
        <v>22</v>
      </c>
      <c r="E5" s="1" t="s">
        <v>23</v>
      </c>
      <c r="F5" s="1" t="s">
        <v>26</v>
      </c>
      <c r="G5" s="1" t="s">
        <v>27</v>
      </c>
      <c r="H5" s="1" t="s">
        <v>13</v>
      </c>
      <c r="I5" s="1" t="s">
        <v>14</v>
      </c>
      <c r="J5" s="1" t="s">
        <v>15</v>
      </c>
    </row>
    <row r="6" ht="15.75" customHeight="1">
      <c r="A6" s="1">
        <v>5.0</v>
      </c>
      <c r="B6" s="1" t="s">
        <v>28</v>
      </c>
      <c r="C6" s="1">
        <v>5.70054374024E11</v>
      </c>
      <c r="D6" s="1" t="s">
        <v>29</v>
      </c>
      <c r="E6" s="1" t="s">
        <v>30</v>
      </c>
      <c r="F6" s="1" t="s">
        <v>31</v>
      </c>
      <c r="G6" s="1" t="s">
        <v>27</v>
      </c>
      <c r="H6" s="1" t="s">
        <v>13</v>
      </c>
      <c r="I6" s="1" t="s">
        <v>14</v>
      </c>
      <c r="J6" s="1" t="s">
        <v>15</v>
      </c>
    </row>
    <row r="7" ht="15.75" customHeight="1">
      <c r="A7" s="1">
        <v>6.0</v>
      </c>
      <c r="B7" s="1" t="s">
        <v>32</v>
      </c>
      <c r="C7" s="1">
        <v>5.70054374025E11</v>
      </c>
      <c r="D7" s="1" t="s">
        <v>25</v>
      </c>
      <c r="E7" s="1" t="s">
        <v>33</v>
      </c>
      <c r="F7" s="1" t="s">
        <v>34</v>
      </c>
      <c r="G7" s="1" t="s">
        <v>27</v>
      </c>
      <c r="H7" s="1" t="s">
        <v>13</v>
      </c>
      <c r="I7" s="1" t="s">
        <v>14</v>
      </c>
      <c r="J7" s="1" t="s">
        <v>15</v>
      </c>
    </row>
    <row r="8" ht="15.75" customHeight="1">
      <c r="A8" s="1">
        <v>7.0</v>
      </c>
      <c r="B8" s="1" t="s">
        <v>35</v>
      </c>
      <c r="C8" s="1">
        <v>5.70054374028E11</v>
      </c>
      <c r="D8" s="1" t="s">
        <v>29</v>
      </c>
      <c r="E8" s="1" t="s">
        <v>30</v>
      </c>
      <c r="F8" s="1" t="s">
        <v>34</v>
      </c>
      <c r="G8" s="1" t="s">
        <v>27</v>
      </c>
      <c r="H8" s="1" t="s">
        <v>13</v>
      </c>
      <c r="I8" s="1" t="s">
        <v>14</v>
      </c>
      <c r="J8" s="1" t="s">
        <v>15</v>
      </c>
    </row>
    <row r="9" ht="15.75" customHeight="1">
      <c r="A9" s="1">
        <v>8.0</v>
      </c>
      <c r="B9" s="1" t="s">
        <v>36</v>
      </c>
      <c r="C9" s="1">
        <v>5.70054374041E11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13</v>
      </c>
      <c r="I9" s="1" t="s">
        <v>14</v>
      </c>
      <c r="J9" s="1" t="s">
        <v>15</v>
      </c>
    </row>
    <row r="10" ht="15.75" customHeight="1">
      <c r="A10" s="1">
        <v>9.0</v>
      </c>
      <c r="B10" s="1" t="s">
        <v>41</v>
      </c>
      <c r="C10" s="1">
        <v>5.70054374042E11</v>
      </c>
      <c r="D10" s="1" t="s">
        <v>42</v>
      </c>
      <c r="E10" s="1" t="s">
        <v>43</v>
      </c>
      <c r="F10" s="1" t="s">
        <v>44</v>
      </c>
      <c r="G10" s="1" t="s">
        <v>40</v>
      </c>
      <c r="H10" s="1" t="s">
        <v>13</v>
      </c>
      <c r="I10" s="1" t="s">
        <v>14</v>
      </c>
      <c r="J10" s="1" t="s">
        <v>15</v>
      </c>
    </row>
    <row r="11" ht="15.75" customHeight="1">
      <c r="A11" s="1">
        <v>10.0</v>
      </c>
      <c r="B11" s="1" t="s">
        <v>45</v>
      </c>
      <c r="C11" s="1">
        <v>5.70054374044E11</v>
      </c>
      <c r="D11" s="1" t="s">
        <v>16</v>
      </c>
      <c r="E11" s="1" t="s">
        <v>46</v>
      </c>
      <c r="F11" s="1" t="s">
        <v>47</v>
      </c>
      <c r="G11" s="1" t="s">
        <v>48</v>
      </c>
      <c r="H11" s="1" t="s">
        <v>13</v>
      </c>
      <c r="I11" s="1" t="s">
        <v>14</v>
      </c>
      <c r="J11" s="1" t="s">
        <v>15</v>
      </c>
    </row>
    <row r="12" ht="15.75" customHeight="1">
      <c r="A12" s="1">
        <v>11.0</v>
      </c>
      <c r="B12" s="1" t="s">
        <v>49</v>
      </c>
      <c r="C12" s="1">
        <v>5.70054374045E11</v>
      </c>
      <c r="D12" s="1" t="s">
        <v>50</v>
      </c>
      <c r="E12" s="1" t="s">
        <v>43</v>
      </c>
      <c r="F12" s="1" t="s">
        <v>51</v>
      </c>
      <c r="G12" s="1" t="s">
        <v>40</v>
      </c>
      <c r="H12" s="1" t="s">
        <v>13</v>
      </c>
      <c r="I12" s="1" t="s">
        <v>14</v>
      </c>
      <c r="J12" s="1" t="s">
        <v>15</v>
      </c>
    </row>
    <row r="13" ht="15.75" customHeight="1">
      <c r="A13" s="1">
        <v>12.0</v>
      </c>
      <c r="B13" s="1" t="s">
        <v>52</v>
      </c>
      <c r="C13" s="1">
        <v>5.70054374046E11</v>
      </c>
      <c r="D13" s="1" t="s">
        <v>53</v>
      </c>
      <c r="E13" s="1" t="s">
        <v>54</v>
      </c>
      <c r="F13" s="1" t="s">
        <v>55</v>
      </c>
      <c r="G13" s="1" t="s">
        <v>27</v>
      </c>
      <c r="H13" s="1" t="s">
        <v>13</v>
      </c>
      <c r="I13" s="1" t="s">
        <v>14</v>
      </c>
      <c r="J13" s="1" t="s">
        <v>15</v>
      </c>
    </row>
    <row r="14" ht="15.75" customHeight="1">
      <c r="A14" s="1">
        <v>13.0</v>
      </c>
      <c r="B14" s="1" t="s">
        <v>56</v>
      </c>
      <c r="C14" s="1">
        <v>5.70054374047E11</v>
      </c>
      <c r="D14" s="1" t="s">
        <v>53</v>
      </c>
      <c r="E14" s="1" t="s">
        <v>54</v>
      </c>
      <c r="F14" s="1" t="s">
        <v>57</v>
      </c>
      <c r="G14" s="1" t="s">
        <v>27</v>
      </c>
      <c r="H14" s="1" t="s">
        <v>13</v>
      </c>
      <c r="I14" s="1" t="s">
        <v>14</v>
      </c>
      <c r="J14" s="1" t="s">
        <v>15</v>
      </c>
    </row>
    <row r="15" ht="15.75" customHeight="1">
      <c r="A15" s="1">
        <v>15.0</v>
      </c>
      <c r="B15" s="1" t="s">
        <v>58</v>
      </c>
      <c r="C15" s="1">
        <v>5.70054374049E11</v>
      </c>
      <c r="D15" s="1" t="s">
        <v>53</v>
      </c>
      <c r="E15" s="1" t="s">
        <v>54</v>
      </c>
      <c r="F15" s="1" t="s">
        <v>59</v>
      </c>
      <c r="G15" s="1" t="s">
        <v>27</v>
      </c>
      <c r="H15" s="1" t="s">
        <v>60</v>
      </c>
      <c r="I15" s="1" t="s">
        <v>14</v>
      </c>
      <c r="J15" s="1" t="s">
        <v>15</v>
      </c>
    </row>
    <row r="16" ht="15.75" customHeight="1">
      <c r="A16" s="1">
        <v>16.0</v>
      </c>
      <c r="B16" s="1" t="s">
        <v>61</v>
      </c>
      <c r="C16" s="1">
        <v>5.70054374051E11</v>
      </c>
      <c r="D16" s="1" t="s">
        <v>62</v>
      </c>
      <c r="E16" s="1" t="s">
        <v>63</v>
      </c>
      <c r="F16" s="1" t="s">
        <v>64</v>
      </c>
      <c r="G16" s="1" t="s">
        <v>27</v>
      </c>
      <c r="H16" s="1" t="s">
        <v>13</v>
      </c>
      <c r="I16" s="1" t="s">
        <v>14</v>
      </c>
      <c r="J16" s="1" t="s">
        <v>15</v>
      </c>
    </row>
    <row r="17" ht="15.75" customHeight="1">
      <c r="A17" s="1">
        <v>17.0</v>
      </c>
      <c r="B17" s="1" t="s">
        <v>65</v>
      </c>
      <c r="C17" s="1">
        <v>5.70054374052E11</v>
      </c>
      <c r="D17" s="1" t="s">
        <v>66</v>
      </c>
      <c r="E17" s="1" t="s">
        <v>67</v>
      </c>
      <c r="F17" s="1" t="s">
        <v>68</v>
      </c>
      <c r="G17" s="1" t="s">
        <v>27</v>
      </c>
      <c r="H17" s="1" t="s">
        <v>13</v>
      </c>
      <c r="I17" s="1" t="s">
        <v>14</v>
      </c>
      <c r="J17" s="1" t="s">
        <v>15</v>
      </c>
    </row>
    <row r="18" ht="15.75" customHeight="1">
      <c r="A18" s="1">
        <v>18.0</v>
      </c>
      <c r="B18" s="1" t="s">
        <v>69</v>
      </c>
      <c r="C18" s="1">
        <v>5.70054374054E11</v>
      </c>
      <c r="D18" s="1" t="s">
        <v>70</v>
      </c>
      <c r="E18" s="1" t="s">
        <v>71</v>
      </c>
      <c r="F18" s="1" t="s">
        <v>72</v>
      </c>
      <c r="G18" s="1" t="s">
        <v>40</v>
      </c>
      <c r="H18" s="1" t="s">
        <v>13</v>
      </c>
      <c r="I18" s="1" t="s">
        <v>14</v>
      </c>
      <c r="J18" s="1" t="s">
        <v>15</v>
      </c>
    </row>
    <row r="19" ht="15.75" customHeight="1">
      <c r="A19" s="1">
        <v>19.0</v>
      </c>
      <c r="B19" s="1" t="s">
        <v>73</v>
      </c>
      <c r="C19" s="1">
        <v>5.70054374063E11</v>
      </c>
      <c r="D19" s="1" t="s">
        <v>66</v>
      </c>
      <c r="E19" s="1" t="s">
        <v>67</v>
      </c>
      <c r="F19" s="1" t="s">
        <v>74</v>
      </c>
      <c r="G19" s="1" t="s">
        <v>27</v>
      </c>
      <c r="H19" s="1" t="s">
        <v>13</v>
      </c>
      <c r="I19" s="1" t="s">
        <v>14</v>
      </c>
      <c r="J19" s="1" t="s">
        <v>15</v>
      </c>
    </row>
    <row r="20" ht="15.75" customHeight="1">
      <c r="A20" s="1">
        <v>20.0</v>
      </c>
      <c r="B20" s="1" t="s">
        <v>75</v>
      </c>
      <c r="C20" s="1">
        <v>5.70054374066E11</v>
      </c>
      <c r="D20" s="1" t="s">
        <v>76</v>
      </c>
      <c r="E20" s="1" t="s">
        <v>77</v>
      </c>
      <c r="F20" s="1" t="s">
        <v>34</v>
      </c>
      <c r="G20" s="1" t="s">
        <v>27</v>
      </c>
      <c r="H20" s="1" t="s">
        <v>13</v>
      </c>
      <c r="I20" s="1" t="s">
        <v>14</v>
      </c>
      <c r="J20" s="1" t="s">
        <v>15</v>
      </c>
    </row>
    <row r="21" ht="15.75" customHeight="1">
      <c r="A21" s="1">
        <v>21.0</v>
      </c>
      <c r="B21" s="1" t="s">
        <v>78</v>
      </c>
      <c r="C21" s="1">
        <v>5.7005437407E11</v>
      </c>
      <c r="D21" s="1" t="s">
        <v>79</v>
      </c>
      <c r="E21" s="1" t="s">
        <v>80</v>
      </c>
      <c r="F21" s="1" t="s">
        <v>81</v>
      </c>
      <c r="G21" s="1" t="s">
        <v>27</v>
      </c>
      <c r="H21" s="1" t="s">
        <v>13</v>
      </c>
      <c r="I21" s="1" t="s">
        <v>14</v>
      </c>
      <c r="J21" s="1" t="s">
        <v>15</v>
      </c>
    </row>
    <row r="22" ht="15.75" customHeight="1">
      <c r="A22" s="1">
        <v>22.0</v>
      </c>
      <c r="B22" s="1" t="s">
        <v>49</v>
      </c>
      <c r="C22" s="1">
        <v>5.70054374071E11</v>
      </c>
      <c r="D22" s="1" t="s">
        <v>82</v>
      </c>
      <c r="E22" s="1" t="s">
        <v>83</v>
      </c>
      <c r="F22" s="1" t="s">
        <v>84</v>
      </c>
      <c r="G22" s="1" t="s">
        <v>27</v>
      </c>
      <c r="H22" s="1" t="s">
        <v>13</v>
      </c>
      <c r="I22" s="1" t="s">
        <v>14</v>
      </c>
      <c r="J22" s="1" t="s">
        <v>15</v>
      </c>
    </row>
    <row r="23" ht="15.75" customHeight="1">
      <c r="A23" s="1">
        <v>23.0</v>
      </c>
      <c r="B23" s="1" t="s">
        <v>85</v>
      </c>
      <c r="C23" s="1">
        <v>5.70054374075E11</v>
      </c>
      <c r="D23" s="1" t="s">
        <v>82</v>
      </c>
      <c r="E23" s="1" t="s">
        <v>83</v>
      </c>
      <c r="F23" s="1" t="s">
        <v>86</v>
      </c>
      <c r="G23" s="1" t="s">
        <v>27</v>
      </c>
      <c r="H23" s="1" t="s">
        <v>13</v>
      </c>
      <c r="I23" s="1" t="s">
        <v>14</v>
      </c>
      <c r="J23" s="1" t="s">
        <v>15</v>
      </c>
    </row>
    <row r="24" ht="15.75" customHeight="1">
      <c r="A24" s="1">
        <v>24.0</v>
      </c>
      <c r="B24" s="1" t="s">
        <v>87</v>
      </c>
      <c r="C24" s="1">
        <v>5.70054374076E11</v>
      </c>
      <c r="D24" s="1" t="s">
        <v>88</v>
      </c>
      <c r="E24" s="1" t="s">
        <v>89</v>
      </c>
      <c r="F24" s="1" t="s">
        <v>90</v>
      </c>
      <c r="G24" s="1" t="s">
        <v>20</v>
      </c>
      <c r="H24" s="1" t="s">
        <v>13</v>
      </c>
      <c r="I24" s="1" t="s">
        <v>14</v>
      </c>
      <c r="J24" s="1" t="s">
        <v>15</v>
      </c>
    </row>
    <row r="25" ht="15.75" customHeight="1">
      <c r="A25" s="1">
        <v>25.0</v>
      </c>
      <c r="B25" s="1" t="s">
        <v>91</v>
      </c>
      <c r="C25" s="1">
        <v>5.7005437408E11</v>
      </c>
      <c r="D25" s="1" t="s">
        <v>92</v>
      </c>
      <c r="E25" s="1" t="s">
        <v>80</v>
      </c>
      <c r="F25" s="1" t="s">
        <v>93</v>
      </c>
      <c r="G25" s="1" t="s">
        <v>27</v>
      </c>
      <c r="H25" s="1" t="s">
        <v>13</v>
      </c>
      <c r="I25" s="1" t="s">
        <v>14</v>
      </c>
      <c r="J25" s="1" t="s">
        <v>15</v>
      </c>
    </row>
    <row r="26" ht="15.75" customHeight="1">
      <c r="A26" s="1">
        <v>26.0</v>
      </c>
      <c r="B26" s="1" t="s">
        <v>94</v>
      </c>
      <c r="C26" s="1">
        <v>5.70054374085E11</v>
      </c>
      <c r="D26" s="1" t="s">
        <v>95</v>
      </c>
      <c r="E26" s="1" t="s">
        <v>96</v>
      </c>
      <c r="F26" s="1" t="s">
        <v>97</v>
      </c>
      <c r="G26" s="1" t="s">
        <v>27</v>
      </c>
      <c r="H26" s="1" t="s">
        <v>13</v>
      </c>
      <c r="I26" s="1" t="s">
        <v>14</v>
      </c>
      <c r="J26" s="1" t="s">
        <v>15</v>
      </c>
    </row>
    <row r="27" ht="15.75" customHeight="1">
      <c r="A27" s="1">
        <v>27.0</v>
      </c>
      <c r="B27" s="1" t="s">
        <v>98</v>
      </c>
      <c r="C27" s="1">
        <v>5.70054374086E11</v>
      </c>
      <c r="D27" s="1" t="s">
        <v>99</v>
      </c>
      <c r="E27" s="1" t="s">
        <v>100</v>
      </c>
      <c r="F27" s="1" t="s">
        <v>101</v>
      </c>
      <c r="G27" s="1" t="s">
        <v>27</v>
      </c>
      <c r="H27" s="1" t="s">
        <v>13</v>
      </c>
      <c r="I27" s="1" t="s">
        <v>14</v>
      </c>
      <c r="J27" s="1" t="s">
        <v>15</v>
      </c>
    </row>
    <row r="28" ht="15.75" customHeight="1">
      <c r="A28" s="1">
        <v>28.0</v>
      </c>
      <c r="B28" s="1" t="s">
        <v>102</v>
      </c>
      <c r="C28" s="1">
        <v>5.70054374091E11</v>
      </c>
      <c r="D28" s="1" t="s">
        <v>103</v>
      </c>
      <c r="E28" s="1" t="s">
        <v>104</v>
      </c>
      <c r="F28" s="1" t="s">
        <v>105</v>
      </c>
      <c r="G28" s="1" t="s">
        <v>27</v>
      </c>
      <c r="H28" s="1" t="s">
        <v>13</v>
      </c>
      <c r="I28" s="1" t="s">
        <v>14</v>
      </c>
      <c r="J28" s="1" t="s">
        <v>15</v>
      </c>
    </row>
    <row r="29" ht="15.75" customHeight="1">
      <c r="A29" s="1">
        <v>29.0</v>
      </c>
      <c r="B29" s="1" t="s">
        <v>106</v>
      </c>
      <c r="C29" s="1">
        <v>5.70054374094E11</v>
      </c>
      <c r="D29" s="1" t="s">
        <v>107</v>
      </c>
      <c r="E29" s="1" t="s">
        <v>108</v>
      </c>
      <c r="F29" s="1" t="s">
        <v>109</v>
      </c>
      <c r="G29" s="1" t="s">
        <v>27</v>
      </c>
      <c r="H29" s="1" t="s">
        <v>13</v>
      </c>
      <c r="I29" s="1" t="s">
        <v>14</v>
      </c>
      <c r="J29" s="1" t="s">
        <v>15</v>
      </c>
    </row>
    <row r="30" ht="15.75" customHeight="1">
      <c r="A30" s="1">
        <v>30.0</v>
      </c>
      <c r="B30" s="1" t="s">
        <v>110</v>
      </c>
      <c r="C30" s="1">
        <v>5.70054374096E11</v>
      </c>
      <c r="D30" s="1" t="s">
        <v>111</v>
      </c>
      <c r="E30" s="1" t="s">
        <v>38</v>
      </c>
      <c r="F30" s="1" t="s">
        <v>112</v>
      </c>
      <c r="G30" s="1" t="s">
        <v>20</v>
      </c>
      <c r="H30" s="1" t="s">
        <v>13</v>
      </c>
      <c r="I30" s="1" t="s">
        <v>14</v>
      </c>
      <c r="J30" s="1" t="s">
        <v>15</v>
      </c>
    </row>
    <row r="31" ht="15.75" customHeight="1">
      <c r="A31" s="1">
        <v>31.0</v>
      </c>
      <c r="B31" s="1" t="s">
        <v>113</v>
      </c>
      <c r="C31" s="1">
        <v>5.70054374097E11</v>
      </c>
      <c r="D31" s="1" t="s">
        <v>114</v>
      </c>
      <c r="E31" s="1" t="s">
        <v>115</v>
      </c>
      <c r="F31" s="1" t="s">
        <v>116</v>
      </c>
      <c r="G31" s="1" t="s">
        <v>20</v>
      </c>
      <c r="H31" s="1" t="s">
        <v>13</v>
      </c>
      <c r="I31" s="1" t="s">
        <v>14</v>
      </c>
      <c r="J31" s="1" t="s">
        <v>15</v>
      </c>
    </row>
    <row r="32" ht="15.75" customHeight="1">
      <c r="A32" s="1">
        <v>32.0</v>
      </c>
      <c r="B32" s="1" t="s">
        <v>117</v>
      </c>
      <c r="C32" s="1">
        <v>5.70054374098E11</v>
      </c>
      <c r="D32" s="1" t="s">
        <v>88</v>
      </c>
      <c r="E32" s="1" t="s">
        <v>118</v>
      </c>
      <c r="F32" s="1" t="s">
        <v>119</v>
      </c>
      <c r="G32" s="1" t="s">
        <v>20</v>
      </c>
      <c r="H32" s="1" t="s">
        <v>13</v>
      </c>
      <c r="I32" s="1" t="s">
        <v>14</v>
      </c>
      <c r="J32" s="1" t="s">
        <v>15</v>
      </c>
    </row>
    <row r="33" ht="15.75" customHeight="1">
      <c r="A33" s="1">
        <v>33.0</v>
      </c>
      <c r="B33" s="1" t="s">
        <v>120</v>
      </c>
      <c r="C33" s="1">
        <v>5.700543741E11</v>
      </c>
      <c r="D33" s="1" t="s">
        <v>121</v>
      </c>
      <c r="E33" s="1" t="s">
        <v>122</v>
      </c>
      <c r="F33" s="1" t="s">
        <v>123</v>
      </c>
      <c r="G33" s="1" t="s">
        <v>27</v>
      </c>
      <c r="H33" s="1" t="s">
        <v>13</v>
      </c>
      <c r="I33" s="1" t="s">
        <v>14</v>
      </c>
      <c r="J33" s="1" t="s">
        <v>15</v>
      </c>
    </row>
    <row r="34" ht="15.75" customHeight="1">
      <c r="A34" s="1">
        <v>34.0</v>
      </c>
      <c r="B34" s="1" t="s">
        <v>124</v>
      </c>
      <c r="C34" s="1">
        <v>5.70054374106E11</v>
      </c>
      <c r="D34" s="1" t="s">
        <v>125</v>
      </c>
      <c r="E34" s="1" t="s">
        <v>126</v>
      </c>
      <c r="F34" s="1" t="s">
        <v>127</v>
      </c>
      <c r="G34" s="1" t="s">
        <v>128</v>
      </c>
      <c r="H34" s="1" t="s">
        <v>13</v>
      </c>
      <c r="I34" s="1" t="s">
        <v>14</v>
      </c>
      <c r="J34" s="1" t="s">
        <v>15</v>
      </c>
    </row>
    <row r="35" ht="15.75" customHeight="1">
      <c r="A35" s="1">
        <v>35.0</v>
      </c>
      <c r="B35" s="1" t="s">
        <v>129</v>
      </c>
      <c r="C35" s="1">
        <v>5.70054374109E11</v>
      </c>
      <c r="D35" s="1" t="s">
        <v>130</v>
      </c>
      <c r="E35" s="1" t="s">
        <v>131</v>
      </c>
      <c r="F35" s="1" t="s">
        <v>132</v>
      </c>
      <c r="G35" s="1" t="s">
        <v>20</v>
      </c>
      <c r="H35" s="1" t="s">
        <v>13</v>
      </c>
      <c r="I35" s="1" t="s">
        <v>14</v>
      </c>
      <c r="J35" s="1" t="s">
        <v>15</v>
      </c>
    </row>
    <row r="36" ht="15.75" customHeight="1">
      <c r="A36" s="1">
        <v>36.0</v>
      </c>
      <c r="B36" s="1" t="s">
        <v>133</v>
      </c>
      <c r="C36" s="1">
        <v>5.70054374118E11</v>
      </c>
      <c r="D36" s="1" t="s">
        <v>134</v>
      </c>
      <c r="E36" s="1" t="s">
        <v>135</v>
      </c>
      <c r="F36" s="1" t="s">
        <v>136</v>
      </c>
      <c r="G36" s="1" t="s">
        <v>27</v>
      </c>
      <c r="H36" s="1" t="s">
        <v>13</v>
      </c>
      <c r="I36" s="1" t="s">
        <v>14</v>
      </c>
      <c r="J36" s="1" t="s">
        <v>15</v>
      </c>
    </row>
    <row r="37" ht="15.75" customHeight="1">
      <c r="A37" s="1">
        <v>37.0</v>
      </c>
      <c r="B37" s="1" t="s">
        <v>137</v>
      </c>
      <c r="C37" s="1">
        <v>5.70054374119E11</v>
      </c>
      <c r="D37" s="1" t="s">
        <v>134</v>
      </c>
      <c r="E37" s="1" t="s">
        <v>138</v>
      </c>
      <c r="F37" s="1" t="s">
        <v>139</v>
      </c>
      <c r="G37" s="1" t="s">
        <v>20</v>
      </c>
      <c r="H37" s="1" t="s">
        <v>13</v>
      </c>
      <c r="I37" s="1" t="s">
        <v>14</v>
      </c>
      <c r="J37" s="1" t="s">
        <v>15</v>
      </c>
    </row>
    <row r="38" ht="15.75" customHeight="1">
      <c r="A38" s="1">
        <v>38.0</v>
      </c>
      <c r="B38" s="1" t="s">
        <v>140</v>
      </c>
      <c r="C38" s="1">
        <v>5.7005437412E11</v>
      </c>
      <c r="D38" s="1" t="s">
        <v>141</v>
      </c>
      <c r="E38" s="1" t="s">
        <v>142</v>
      </c>
      <c r="F38" s="1" t="s">
        <v>143</v>
      </c>
      <c r="G38" s="1" t="s">
        <v>144</v>
      </c>
      <c r="H38" s="1" t="s">
        <v>13</v>
      </c>
      <c r="I38" s="1" t="s">
        <v>14</v>
      </c>
      <c r="J38" s="1" t="s">
        <v>15</v>
      </c>
    </row>
    <row r="39" ht="15.75" customHeight="1">
      <c r="A39" s="1">
        <v>39.0</v>
      </c>
      <c r="B39" s="1" t="s">
        <v>145</v>
      </c>
      <c r="C39" s="1">
        <v>5.70054374121E11</v>
      </c>
      <c r="D39" s="1" t="s">
        <v>146</v>
      </c>
      <c r="E39" s="1" t="s">
        <v>77</v>
      </c>
      <c r="F39" s="1" t="s">
        <v>147</v>
      </c>
      <c r="G39" s="1" t="s">
        <v>144</v>
      </c>
      <c r="H39" s="1" t="s">
        <v>13</v>
      </c>
      <c r="I39" s="1" t="s">
        <v>14</v>
      </c>
      <c r="J39" s="1" t="s">
        <v>15</v>
      </c>
    </row>
    <row r="40" ht="15.75" customHeight="1">
      <c r="A40" s="1">
        <v>40.0</v>
      </c>
      <c r="B40" s="1" t="s">
        <v>148</v>
      </c>
      <c r="C40" s="1">
        <v>5.70054374125E11</v>
      </c>
      <c r="D40" s="1" t="s">
        <v>149</v>
      </c>
      <c r="E40" s="1" t="s">
        <v>150</v>
      </c>
      <c r="F40" s="1" t="s">
        <v>151</v>
      </c>
      <c r="G40" s="1" t="s">
        <v>144</v>
      </c>
      <c r="H40" s="1" t="s">
        <v>13</v>
      </c>
      <c r="I40" s="1" t="s">
        <v>14</v>
      </c>
      <c r="J40" s="1" t="s">
        <v>15</v>
      </c>
    </row>
    <row r="41" ht="15.75" customHeight="1">
      <c r="A41" s="1">
        <v>41.0</v>
      </c>
      <c r="B41" s="1" t="s">
        <v>152</v>
      </c>
      <c r="C41" s="1">
        <v>5.7005437412E11</v>
      </c>
      <c r="D41" s="1" t="s">
        <v>153</v>
      </c>
      <c r="E41" s="1" t="s">
        <v>154</v>
      </c>
      <c r="F41" s="1" t="s">
        <v>155</v>
      </c>
      <c r="G41" s="1" t="s">
        <v>156</v>
      </c>
      <c r="H41" s="1" t="s">
        <v>13</v>
      </c>
      <c r="I41" s="1" t="s">
        <v>14</v>
      </c>
      <c r="J41" s="1" t="s">
        <v>15</v>
      </c>
    </row>
    <row r="42" ht="15.75" customHeight="1">
      <c r="A42" s="1">
        <v>42.0</v>
      </c>
      <c r="B42" s="1" t="s">
        <v>157</v>
      </c>
      <c r="C42" s="1">
        <v>5.70054374132E11</v>
      </c>
      <c r="D42" s="1" t="s">
        <v>158</v>
      </c>
      <c r="E42" s="1" t="s">
        <v>159</v>
      </c>
      <c r="F42" s="1" t="s">
        <v>160</v>
      </c>
      <c r="G42" s="1" t="s">
        <v>40</v>
      </c>
      <c r="H42" s="1" t="s">
        <v>13</v>
      </c>
      <c r="I42" s="1" t="s">
        <v>14</v>
      </c>
      <c r="J42" s="1" t="s">
        <v>15</v>
      </c>
    </row>
    <row r="43" ht="15.75" customHeight="1">
      <c r="A43" s="1">
        <v>43.0</v>
      </c>
      <c r="B43" s="1" t="s">
        <v>161</v>
      </c>
      <c r="C43" s="1">
        <v>5.70054374136E11</v>
      </c>
      <c r="D43" s="1" t="s">
        <v>162</v>
      </c>
      <c r="E43" s="1" t="s">
        <v>163</v>
      </c>
      <c r="F43" s="1" t="s">
        <v>164</v>
      </c>
      <c r="G43" s="1" t="s">
        <v>27</v>
      </c>
      <c r="H43" s="1" t="s">
        <v>13</v>
      </c>
      <c r="I43" s="1" t="s">
        <v>14</v>
      </c>
      <c r="J43" s="1" t="s">
        <v>15</v>
      </c>
    </row>
    <row r="44" ht="15.75" customHeight="1">
      <c r="A44" s="1">
        <v>44.0</v>
      </c>
      <c r="B44" s="1" t="s">
        <v>165</v>
      </c>
      <c r="C44" s="1">
        <v>5.70054374142E11</v>
      </c>
      <c r="D44" s="1" t="s">
        <v>161</v>
      </c>
      <c r="E44" s="1" t="s">
        <v>166</v>
      </c>
      <c r="F44" s="1" t="s">
        <v>167</v>
      </c>
      <c r="G44" s="1" t="s">
        <v>27</v>
      </c>
      <c r="H44" s="1" t="s">
        <v>13</v>
      </c>
      <c r="I44" s="1" t="s">
        <v>14</v>
      </c>
      <c r="J44" s="1" t="s">
        <v>15</v>
      </c>
    </row>
    <row r="45" ht="15.75" customHeight="1">
      <c r="A45" s="1">
        <v>45.0</v>
      </c>
      <c r="B45" s="1" t="s">
        <v>168</v>
      </c>
      <c r="C45" s="1">
        <v>5.70054374143E11</v>
      </c>
      <c r="D45" s="1" t="s">
        <v>169</v>
      </c>
      <c r="E45" s="1" t="s">
        <v>170</v>
      </c>
      <c r="F45" s="1" t="s">
        <v>171</v>
      </c>
      <c r="G45" s="1" t="s">
        <v>27</v>
      </c>
      <c r="H45" s="1" t="s">
        <v>13</v>
      </c>
      <c r="I45" s="1" t="s">
        <v>14</v>
      </c>
      <c r="J45" s="1" t="s">
        <v>15</v>
      </c>
    </row>
    <row r="46" ht="15.75" customHeight="1">
      <c r="A46" s="1">
        <v>47.0</v>
      </c>
      <c r="B46" s="1" t="s">
        <v>172</v>
      </c>
      <c r="C46" s="1">
        <v>5.70054374149E11</v>
      </c>
      <c r="D46" s="1" t="s">
        <v>173</v>
      </c>
      <c r="E46" s="1" t="s">
        <v>174</v>
      </c>
      <c r="F46" s="1" t="s">
        <v>175</v>
      </c>
      <c r="G46" s="1" t="s">
        <v>144</v>
      </c>
      <c r="H46" s="1" t="s">
        <v>13</v>
      </c>
      <c r="I46" s="1" t="s">
        <v>14</v>
      </c>
      <c r="J46" s="1" t="s">
        <v>15</v>
      </c>
    </row>
    <row r="47" ht="15.75" customHeight="1">
      <c r="A47" s="1">
        <v>48.0</v>
      </c>
      <c r="B47" s="1" t="s">
        <v>176</v>
      </c>
      <c r="C47" s="1">
        <v>5.70054374154E11</v>
      </c>
      <c r="D47" s="1" t="s">
        <v>177</v>
      </c>
      <c r="E47" s="1" t="s">
        <v>178</v>
      </c>
      <c r="F47" s="1" t="s">
        <v>179</v>
      </c>
      <c r="G47" s="1" t="s">
        <v>27</v>
      </c>
      <c r="H47" s="1" t="s">
        <v>13</v>
      </c>
      <c r="I47" s="1" t="s">
        <v>14</v>
      </c>
      <c r="J47" s="1" t="s">
        <v>15</v>
      </c>
    </row>
    <row r="48" ht="15.75" customHeight="1">
      <c r="A48" s="1">
        <v>49.0</v>
      </c>
      <c r="B48" s="1" t="s">
        <v>180</v>
      </c>
      <c r="C48" s="1">
        <v>5.70054374157E11</v>
      </c>
      <c r="D48" s="1" t="s">
        <v>181</v>
      </c>
      <c r="E48" s="1" t="s">
        <v>182</v>
      </c>
      <c r="F48" s="1" t="s">
        <v>183</v>
      </c>
      <c r="G48" s="1" t="s">
        <v>184</v>
      </c>
      <c r="H48" s="1" t="s">
        <v>13</v>
      </c>
      <c r="I48" s="1" t="s">
        <v>14</v>
      </c>
      <c r="J48" s="1" t="s">
        <v>15</v>
      </c>
    </row>
    <row r="49" ht="15.75" customHeight="1">
      <c r="A49" s="1">
        <v>50.0</v>
      </c>
      <c r="B49" s="1" t="s">
        <v>185</v>
      </c>
      <c r="C49" s="1">
        <v>5.7005437416E11</v>
      </c>
      <c r="D49" s="1" t="s">
        <v>186</v>
      </c>
      <c r="E49" s="1" t="s">
        <v>187</v>
      </c>
      <c r="F49" s="1" t="s">
        <v>188</v>
      </c>
      <c r="G49" s="1" t="s">
        <v>20</v>
      </c>
      <c r="H49" s="1" t="s">
        <v>13</v>
      </c>
      <c r="I49" s="1" t="s">
        <v>14</v>
      </c>
      <c r="J49" s="1" t="s">
        <v>15</v>
      </c>
    </row>
    <row r="50" ht="15.75" customHeight="1">
      <c r="A50" s="1">
        <v>51.0</v>
      </c>
      <c r="B50" s="1" t="s">
        <v>189</v>
      </c>
      <c r="C50" s="1">
        <v>5.70054374163E11</v>
      </c>
      <c r="D50" s="1" t="s">
        <v>190</v>
      </c>
      <c r="E50" s="1" t="s">
        <v>191</v>
      </c>
      <c r="F50" s="1" t="s">
        <v>192</v>
      </c>
      <c r="G50" s="1" t="s">
        <v>20</v>
      </c>
      <c r="H50" s="1" t="s">
        <v>13</v>
      </c>
      <c r="I50" s="1" t="s">
        <v>14</v>
      </c>
      <c r="J50" s="1" t="s">
        <v>15</v>
      </c>
    </row>
    <row r="51" ht="15.75" customHeight="1">
      <c r="A51" s="1">
        <v>52.0</v>
      </c>
      <c r="B51" s="1" t="s">
        <v>193</v>
      </c>
      <c r="C51" s="1">
        <v>5.70054374166E11</v>
      </c>
      <c r="D51" s="1" t="s">
        <v>194</v>
      </c>
      <c r="E51" s="1" t="s">
        <v>195</v>
      </c>
      <c r="F51" s="1" t="s">
        <v>196</v>
      </c>
      <c r="G51" s="1" t="s">
        <v>144</v>
      </c>
      <c r="H51" s="1" t="s">
        <v>13</v>
      </c>
      <c r="I51" s="1" t="s">
        <v>14</v>
      </c>
      <c r="J51" s="1" t="s">
        <v>15</v>
      </c>
    </row>
    <row r="52" ht="15.75" customHeight="1">
      <c r="A52" s="1">
        <v>53.0</v>
      </c>
      <c r="B52" s="1" t="s">
        <v>197</v>
      </c>
      <c r="C52" s="1">
        <v>5.70054374168E11</v>
      </c>
      <c r="D52" s="1" t="s">
        <v>193</v>
      </c>
      <c r="E52" s="1" t="s">
        <v>198</v>
      </c>
      <c r="F52" s="1" t="s">
        <v>199</v>
      </c>
      <c r="G52" s="1" t="s">
        <v>144</v>
      </c>
      <c r="H52" s="1" t="s">
        <v>13</v>
      </c>
      <c r="I52" s="1" t="s">
        <v>14</v>
      </c>
      <c r="J52" s="1" t="s">
        <v>15</v>
      </c>
    </row>
    <row r="53" ht="15.75" customHeight="1">
      <c r="A53" s="1">
        <v>54.0</v>
      </c>
      <c r="B53" s="1" t="s">
        <v>200</v>
      </c>
      <c r="C53" s="1">
        <v>5.7005437417E11</v>
      </c>
      <c r="D53" s="1" t="s">
        <v>201</v>
      </c>
      <c r="E53" s="1" t="s">
        <v>202</v>
      </c>
      <c r="F53" s="1" t="s">
        <v>203</v>
      </c>
      <c r="G53" s="1" t="s">
        <v>20</v>
      </c>
      <c r="H53" s="1" t="s">
        <v>13</v>
      </c>
      <c r="I53" s="1" t="s">
        <v>14</v>
      </c>
      <c r="J53" s="1" t="s">
        <v>15</v>
      </c>
    </row>
    <row r="54" ht="15.75" customHeight="1">
      <c r="A54" s="1">
        <v>55.0</v>
      </c>
      <c r="B54" s="1" t="s">
        <v>204</v>
      </c>
      <c r="C54" s="1">
        <v>5.70054374175E11</v>
      </c>
      <c r="D54" s="1" t="s">
        <v>205</v>
      </c>
      <c r="E54" s="1" t="s">
        <v>206</v>
      </c>
      <c r="F54" s="1" t="s">
        <v>207</v>
      </c>
      <c r="G54" s="1" t="s">
        <v>144</v>
      </c>
      <c r="H54" s="1" t="s">
        <v>13</v>
      </c>
      <c r="I54" s="1" t="s">
        <v>14</v>
      </c>
      <c r="J54" s="1" t="s">
        <v>15</v>
      </c>
    </row>
    <row r="55" ht="15.75" customHeight="1">
      <c r="A55" s="1">
        <v>56.0</v>
      </c>
      <c r="B55" s="1" t="s">
        <v>208</v>
      </c>
      <c r="C55" s="1">
        <v>5.70054374176E11</v>
      </c>
      <c r="D55" s="1" t="s">
        <v>209</v>
      </c>
      <c r="E55" s="1" t="s">
        <v>142</v>
      </c>
      <c r="F55" s="1" t="s">
        <v>210</v>
      </c>
      <c r="G55" s="1" t="s">
        <v>27</v>
      </c>
      <c r="H55" s="1" t="s">
        <v>13</v>
      </c>
      <c r="I55" s="1" t="s">
        <v>14</v>
      </c>
      <c r="J55" s="1" t="s">
        <v>15</v>
      </c>
    </row>
    <row r="56" ht="15.75" customHeight="1">
      <c r="A56" s="1">
        <v>57.0</v>
      </c>
      <c r="B56" s="1" t="s">
        <v>211</v>
      </c>
      <c r="C56" s="1">
        <v>5.70054374186E11</v>
      </c>
      <c r="D56" s="1" t="s">
        <v>212</v>
      </c>
      <c r="E56" s="1" t="s">
        <v>191</v>
      </c>
      <c r="F56" s="1" t="s">
        <v>213</v>
      </c>
      <c r="G56" s="1" t="s">
        <v>144</v>
      </c>
      <c r="H56" s="1" t="s">
        <v>13</v>
      </c>
      <c r="I56" s="1" t="s">
        <v>14</v>
      </c>
      <c r="J56" s="1" t="s">
        <v>15</v>
      </c>
    </row>
    <row r="57" ht="15.75" customHeight="1">
      <c r="A57" s="1">
        <v>58.0</v>
      </c>
      <c r="B57" s="1" t="s">
        <v>193</v>
      </c>
      <c r="C57" s="1">
        <v>5.70054374187E11</v>
      </c>
      <c r="D57" s="1" t="s">
        <v>214</v>
      </c>
      <c r="E57" s="1" t="s">
        <v>215</v>
      </c>
      <c r="F57" s="1" t="s">
        <v>216</v>
      </c>
      <c r="G57" s="1" t="s">
        <v>144</v>
      </c>
      <c r="H57" s="1" t="s">
        <v>13</v>
      </c>
      <c r="I57" s="1" t="s">
        <v>14</v>
      </c>
      <c r="J57" s="1" t="s">
        <v>15</v>
      </c>
    </row>
    <row r="58" ht="15.75" customHeight="1">
      <c r="A58" s="1">
        <v>59.0</v>
      </c>
      <c r="B58" s="1" t="s">
        <v>217</v>
      </c>
      <c r="C58" s="1">
        <v>5.70054374188E11</v>
      </c>
      <c r="D58" s="1" t="s">
        <v>218</v>
      </c>
      <c r="E58" s="1" t="s">
        <v>219</v>
      </c>
      <c r="F58" s="1" t="s">
        <v>220</v>
      </c>
      <c r="G58" s="1" t="s">
        <v>27</v>
      </c>
      <c r="H58" s="1" t="s">
        <v>13</v>
      </c>
      <c r="I58" s="1" t="s">
        <v>14</v>
      </c>
      <c r="J58" s="1" t="s">
        <v>15</v>
      </c>
    </row>
    <row r="59" ht="15.75" customHeight="1">
      <c r="A59" s="1">
        <v>60.0</v>
      </c>
      <c r="B59" s="1" t="s">
        <v>221</v>
      </c>
      <c r="C59" s="1">
        <v>5.7005437419E11</v>
      </c>
      <c r="D59" s="1" t="s">
        <v>222</v>
      </c>
      <c r="E59" s="1" t="s">
        <v>223</v>
      </c>
      <c r="F59" s="1" t="s">
        <v>224</v>
      </c>
      <c r="G59" s="1" t="s">
        <v>144</v>
      </c>
      <c r="H59" s="1" t="s">
        <v>13</v>
      </c>
      <c r="I59" s="1" t="s">
        <v>14</v>
      </c>
      <c r="J59" s="1" t="s">
        <v>15</v>
      </c>
    </row>
    <row r="60" ht="15.75" customHeight="1">
      <c r="A60" s="1">
        <v>61.0</v>
      </c>
      <c r="B60" s="1" t="s">
        <v>225</v>
      </c>
      <c r="C60" s="1">
        <v>5.70054374191E11</v>
      </c>
      <c r="D60" s="1" t="s">
        <v>222</v>
      </c>
      <c r="E60" s="1" t="s">
        <v>223</v>
      </c>
      <c r="F60" s="1" t="s">
        <v>226</v>
      </c>
      <c r="G60" s="1" t="s">
        <v>27</v>
      </c>
      <c r="H60" s="1" t="s">
        <v>13</v>
      </c>
      <c r="I60" s="1" t="s">
        <v>14</v>
      </c>
      <c r="J60" s="1" t="s">
        <v>15</v>
      </c>
    </row>
    <row r="61" ht="15.75" customHeight="1">
      <c r="A61" s="1">
        <v>62.0</v>
      </c>
      <c r="B61" s="1" t="s">
        <v>227</v>
      </c>
      <c r="C61" s="1">
        <v>5.70054374192E11</v>
      </c>
      <c r="D61" s="1" t="s">
        <v>228</v>
      </c>
      <c r="E61" s="1" t="s">
        <v>30</v>
      </c>
      <c r="F61" s="1" t="s">
        <v>229</v>
      </c>
      <c r="G61" s="1" t="s">
        <v>27</v>
      </c>
      <c r="H61" s="1" t="s">
        <v>13</v>
      </c>
      <c r="I61" s="1" t="s">
        <v>14</v>
      </c>
      <c r="J61" s="1" t="s">
        <v>15</v>
      </c>
    </row>
    <row r="62" ht="15.75" customHeight="1">
      <c r="A62" s="1">
        <v>63.0</v>
      </c>
      <c r="B62" s="1" t="s">
        <v>230</v>
      </c>
      <c r="C62" s="1">
        <v>5.70054374194E11</v>
      </c>
      <c r="D62" s="1" t="s">
        <v>231</v>
      </c>
      <c r="E62" s="1" t="s">
        <v>232</v>
      </c>
      <c r="F62" s="1" t="s">
        <v>233</v>
      </c>
      <c r="G62" s="1" t="s">
        <v>27</v>
      </c>
      <c r="H62" s="1" t="s">
        <v>13</v>
      </c>
      <c r="I62" s="1" t="s">
        <v>14</v>
      </c>
      <c r="J62" s="1" t="s">
        <v>15</v>
      </c>
    </row>
    <row r="63" ht="15.75" customHeight="1">
      <c r="A63" s="1">
        <v>64.0</v>
      </c>
      <c r="B63" s="1" t="s">
        <v>234</v>
      </c>
      <c r="C63" s="1">
        <v>5.700543742E11</v>
      </c>
      <c r="D63" s="1" t="s">
        <v>235</v>
      </c>
      <c r="E63" s="1" t="s">
        <v>23</v>
      </c>
      <c r="F63" s="1" t="s">
        <v>236</v>
      </c>
      <c r="G63" s="1" t="s">
        <v>27</v>
      </c>
      <c r="H63" s="1" t="s">
        <v>13</v>
      </c>
      <c r="I63" s="1" t="s">
        <v>14</v>
      </c>
      <c r="J63" s="1" t="s">
        <v>15</v>
      </c>
    </row>
    <row r="64" ht="15.75" customHeight="1">
      <c r="A64" s="1">
        <v>65.0</v>
      </c>
      <c r="B64" s="1" t="s">
        <v>237</v>
      </c>
      <c r="C64" s="1">
        <v>5.70054374201E11</v>
      </c>
      <c r="D64" s="1" t="s">
        <v>238</v>
      </c>
      <c r="E64" s="1" t="s">
        <v>239</v>
      </c>
      <c r="F64" s="1" t="s">
        <v>240</v>
      </c>
      <c r="G64" s="1" t="s">
        <v>144</v>
      </c>
      <c r="H64" s="1" t="s">
        <v>13</v>
      </c>
      <c r="I64" s="1" t="s">
        <v>14</v>
      </c>
      <c r="J64" s="1" t="s">
        <v>15</v>
      </c>
    </row>
    <row r="65" ht="15.75" customHeight="1">
      <c r="A65" s="1">
        <v>66.0</v>
      </c>
      <c r="B65" s="1" t="s">
        <v>148</v>
      </c>
      <c r="C65" s="1">
        <v>5.70054374202E11</v>
      </c>
      <c r="D65" s="1" t="s">
        <v>241</v>
      </c>
      <c r="E65" s="1" t="s">
        <v>174</v>
      </c>
      <c r="F65" s="1" t="s">
        <v>242</v>
      </c>
      <c r="G65" s="1" t="s">
        <v>40</v>
      </c>
      <c r="H65" s="1" t="s">
        <v>13</v>
      </c>
      <c r="I65" s="1" t="s">
        <v>14</v>
      </c>
      <c r="J65" s="1" t="s">
        <v>15</v>
      </c>
    </row>
    <row r="66" ht="15.75" customHeight="1">
      <c r="A66" s="1">
        <v>67.0</v>
      </c>
      <c r="B66" s="1" t="s">
        <v>243</v>
      </c>
      <c r="C66" s="1">
        <v>5.70054374204E11</v>
      </c>
      <c r="D66" s="1" t="s">
        <v>217</v>
      </c>
      <c r="E66" s="1" t="s">
        <v>244</v>
      </c>
      <c r="F66" s="1" t="s">
        <v>245</v>
      </c>
      <c r="G66" s="1" t="s">
        <v>27</v>
      </c>
      <c r="H66" s="1" t="s">
        <v>13</v>
      </c>
      <c r="I66" s="1" t="s">
        <v>14</v>
      </c>
      <c r="J66" s="1" t="s">
        <v>15</v>
      </c>
    </row>
    <row r="67" ht="15.75" customHeight="1">
      <c r="A67" s="1">
        <v>68.0</v>
      </c>
      <c r="B67" s="1" t="s">
        <v>217</v>
      </c>
      <c r="C67" s="1">
        <v>5.70054374205E11</v>
      </c>
      <c r="D67" s="1" t="s">
        <v>246</v>
      </c>
      <c r="E67" s="1" t="s">
        <v>247</v>
      </c>
      <c r="F67" s="1" t="s">
        <v>248</v>
      </c>
      <c r="G67" s="1" t="s">
        <v>27</v>
      </c>
      <c r="H67" s="1" t="s">
        <v>13</v>
      </c>
      <c r="I67" s="1" t="s">
        <v>14</v>
      </c>
      <c r="J67" s="1" t="s">
        <v>15</v>
      </c>
    </row>
    <row r="68" ht="15.75" customHeight="1">
      <c r="A68" s="1">
        <v>69.0</v>
      </c>
      <c r="B68" s="1" t="s">
        <v>249</v>
      </c>
      <c r="C68" s="1">
        <v>5.70054374209E11</v>
      </c>
      <c r="D68" s="1" t="s">
        <v>250</v>
      </c>
      <c r="E68" s="1" t="s">
        <v>251</v>
      </c>
      <c r="F68" s="1" t="s">
        <v>252</v>
      </c>
      <c r="G68" s="1" t="s">
        <v>27</v>
      </c>
      <c r="H68" s="1" t="s">
        <v>13</v>
      </c>
      <c r="I68" s="1" t="s">
        <v>14</v>
      </c>
      <c r="J68" s="1" t="s">
        <v>15</v>
      </c>
    </row>
    <row r="69" ht="15.75" customHeight="1">
      <c r="A69" s="1">
        <v>70.0</v>
      </c>
      <c r="B69" s="1" t="s">
        <v>253</v>
      </c>
      <c r="C69" s="1">
        <v>5.7005437421E11</v>
      </c>
      <c r="D69" s="1" t="s">
        <v>254</v>
      </c>
      <c r="E69" s="1" t="s">
        <v>255</v>
      </c>
      <c r="F69" s="1" t="s">
        <v>112</v>
      </c>
      <c r="G69" s="1" t="s">
        <v>144</v>
      </c>
      <c r="H69" s="1" t="s">
        <v>13</v>
      </c>
      <c r="I69" s="1" t="s">
        <v>14</v>
      </c>
      <c r="J69" s="1" t="s">
        <v>15</v>
      </c>
    </row>
    <row r="70" ht="15.75" customHeight="1">
      <c r="A70" s="1">
        <v>71.0</v>
      </c>
      <c r="B70" s="1" t="s">
        <v>256</v>
      </c>
      <c r="C70" s="1">
        <v>5.70054374216E11</v>
      </c>
      <c r="D70" s="1" t="s">
        <v>257</v>
      </c>
      <c r="E70" s="1" t="s">
        <v>258</v>
      </c>
      <c r="F70" s="1" t="s">
        <v>259</v>
      </c>
      <c r="G70" s="1" t="s">
        <v>27</v>
      </c>
      <c r="H70" s="1" t="s">
        <v>13</v>
      </c>
      <c r="I70" s="1" t="s">
        <v>14</v>
      </c>
      <c r="J70" s="1" t="s">
        <v>15</v>
      </c>
    </row>
    <row r="71" ht="15.75" customHeight="1">
      <c r="A71" s="1">
        <v>72.0</v>
      </c>
      <c r="B71" s="1" t="s">
        <v>260</v>
      </c>
      <c r="C71" s="1">
        <v>5.70054374217E11</v>
      </c>
      <c r="D71" s="1" t="s">
        <v>261</v>
      </c>
      <c r="E71" s="1" t="s">
        <v>262</v>
      </c>
      <c r="F71" s="1" t="s">
        <v>263</v>
      </c>
      <c r="G71" s="1" t="s">
        <v>144</v>
      </c>
      <c r="H71" s="1" t="s">
        <v>13</v>
      </c>
      <c r="I71" s="1" t="s">
        <v>14</v>
      </c>
      <c r="J71" s="1" t="s">
        <v>15</v>
      </c>
    </row>
    <row r="72" ht="15.75" customHeight="1">
      <c r="A72" s="1">
        <v>73.0</v>
      </c>
      <c r="B72" s="1" t="s">
        <v>264</v>
      </c>
      <c r="C72" s="1">
        <v>5.70054374218E11</v>
      </c>
      <c r="D72" s="1" t="s">
        <v>9</v>
      </c>
      <c r="E72" s="1" t="s">
        <v>265</v>
      </c>
      <c r="F72" s="1" t="s">
        <v>266</v>
      </c>
      <c r="G72" s="1" t="s">
        <v>27</v>
      </c>
      <c r="H72" s="1" t="s">
        <v>13</v>
      </c>
      <c r="I72" s="1" t="s">
        <v>14</v>
      </c>
      <c r="J72" s="1" t="s">
        <v>15</v>
      </c>
    </row>
    <row r="73" ht="15.75" customHeight="1">
      <c r="A73" s="1">
        <v>74.0</v>
      </c>
      <c r="B73" s="1" t="s">
        <v>267</v>
      </c>
      <c r="C73" s="1">
        <v>5.70054374222E11</v>
      </c>
      <c r="D73" s="1" t="s">
        <v>268</v>
      </c>
      <c r="E73" s="1" t="s">
        <v>269</v>
      </c>
      <c r="F73" s="1" t="s">
        <v>270</v>
      </c>
      <c r="G73" s="1" t="s">
        <v>144</v>
      </c>
      <c r="H73" s="1" t="s">
        <v>13</v>
      </c>
      <c r="I73" s="1" t="s">
        <v>14</v>
      </c>
      <c r="J73" s="1" t="s">
        <v>15</v>
      </c>
    </row>
    <row r="74" ht="15.75" customHeight="1">
      <c r="A74" s="1">
        <v>75.0</v>
      </c>
      <c r="B74" s="1" t="s">
        <v>157</v>
      </c>
      <c r="C74" s="1">
        <v>5.70054374224E11</v>
      </c>
      <c r="D74" s="1" t="s">
        <v>271</v>
      </c>
      <c r="E74" s="1" t="s">
        <v>30</v>
      </c>
      <c r="F74" s="1" t="s">
        <v>272</v>
      </c>
      <c r="G74" s="1" t="s">
        <v>27</v>
      </c>
      <c r="H74" s="1" t="s">
        <v>13</v>
      </c>
      <c r="I74" s="1" t="s">
        <v>14</v>
      </c>
      <c r="J74" s="1" t="s">
        <v>15</v>
      </c>
    </row>
    <row r="75" ht="15.75" customHeight="1">
      <c r="A75" s="1">
        <v>76.0</v>
      </c>
      <c r="B75" s="1" t="s">
        <v>273</v>
      </c>
      <c r="C75" s="1">
        <v>5.70054374225E11</v>
      </c>
      <c r="D75" s="1" t="s">
        <v>274</v>
      </c>
      <c r="E75" s="1" t="s">
        <v>275</v>
      </c>
      <c r="F75" s="1" t="s">
        <v>276</v>
      </c>
      <c r="G75" s="1" t="s">
        <v>20</v>
      </c>
      <c r="H75" s="1" t="s">
        <v>13</v>
      </c>
      <c r="I75" s="1" t="s">
        <v>14</v>
      </c>
      <c r="J75" s="1" t="s">
        <v>15</v>
      </c>
    </row>
    <row r="76" ht="15.75" customHeight="1">
      <c r="A76" s="1">
        <v>77.0</v>
      </c>
      <c r="B76" s="1" t="s">
        <v>277</v>
      </c>
      <c r="C76" s="1">
        <v>5.70054374226E11</v>
      </c>
      <c r="D76" s="1" t="s">
        <v>228</v>
      </c>
      <c r="E76" s="1" t="s">
        <v>30</v>
      </c>
      <c r="F76" s="1" t="s">
        <v>278</v>
      </c>
      <c r="G76" s="1" t="s">
        <v>27</v>
      </c>
      <c r="H76" s="1" t="s">
        <v>13</v>
      </c>
      <c r="I76" s="1" t="s">
        <v>14</v>
      </c>
      <c r="J76" s="1" t="s">
        <v>15</v>
      </c>
    </row>
    <row r="77" ht="15.75" customHeight="1">
      <c r="A77" s="1">
        <v>78.0</v>
      </c>
      <c r="B77" s="1" t="s">
        <v>279</v>
      </c>
      <c r="C77" s="1">
        <v>5.70054374227E11</v>
      </c>
      <c r="D77" s="1" t="s">
        <v>280</v>
      </c>
      <c r="E77" s="1" t="s">
        <v>281</v>
      </c>
      <c r="F77" s="1" t="s">
        <v>282</v>
      </c>
      <c r="G77" s="1" t="s">
        <v>27</v>
      </c>
      <c r="H77" s="1" t="s">
        <v>13</v>
      </c>
      <c r="I77" s="1" t="s">
        <v>14</v>
      </c>
      <c r="J77" s="1" t="s">
        <v>15</v>
      </c>
    </row>
    <row r="78" ht="15.75" customHeight="1">
      <c r="A78" s="1">
        <v>79.0</v>
      </c>
      <c r="B78" s="1" t="s">
        <v>149</v>
      </c>
      <c r="C78" s="1">
        <v>5.70054374228E11</v>
      </c>
      <c r="D78" s="1" t="s">
        <v>283</v>
      </c>
      <c r="E78" s="1" t="s">
        <v>284</v>
      </c>
      <c r="F78" s="1" t="s">
        <v>285</v>
      </c>
      <c r="G78" s="1" t="s">
        <v>144</v>
      </c>
      <c r="H78" s="1" t="s">
        <v>13</v>
      </c>
      <c r="I78" s="1" t="s">
        <v>14</v>
      </c>
      <c r="J78" s="1" t="s">
        <v>15</v>
      </c>
    </row>
    <row r="79" ht="15.75" customHeight="1">
      <c r="A79" s="1">
        <v>80.0</v>
      </c>
      <c r="B79" s="1" t="s">
        <v>286</v>
      </c>
      <c r="C79" s="1">
        <v>5.70054374231E11</v>
      </c>
      <c r="D79" s="1" t="s">
        <v>287</v>
      </c>
      <c r="E79" s="1" t="s">
        <v>288</v>
      </c>
      <c r="F79" s="1" t="s">
        <v>289</v>
      </c>
      <c r="G79" s="1" t="s">
        <v>27</v>
      </c>
      <c r="H79" s="1" t="s">
        <v>13</v>
      </c>
      <c r="I79" s="1" t="s">
        <v>14</v>
      </c>
      <c r="J79" s="1" t="s">
        <v>15</v>
      </c>
    </row>
    <row r="80" ht="15.75" customHeight="1">
      <c r="A80" s="1">
        <v>81.0</v>
      </c>
      <c r="B80" s="1" t="s">
        <v>290</v>
      </c>
      <c r="C80" s="1">
        <v>5.70054374233E11</v>
      </c>
      <c r="D80" s="1" t="s">
        <v>291</v>
      </c>
      <c r="E80" s="1" t="s">
        <v>154</v>
      </c>
      <c r="F80" s="1" t="s">
        <v>292</v>
      </c>
      <c r="G80" s="1" t="s">
        <v>27</v>
      </c>
      <c r="H80" s="1" t="s">
        <v>13</v>
      </c>
      <c r="I80" s="1" t="s">
        <v>14</v>
      </c>
      <c r="J80" s="1" t="s">
        <v>15</v>
      </c>
    </row>
    <row r="81" ht="15.75" customHeight="1">
      <c r="A81" s="1">
        <v>82.0</v>
      </c>
      <c r="B81" s="1" t="s">
        <v>293</v>
      </c>
      <c r="C81" s="1">
        <v>5.70054374234E11</v>
      </c>
      <c r="D81" s="1" t="s">
        <v>256</v>
      </c>
      <c r="E81" s="1" t="s">
        <v>163</v>
      </c>
      <c r="F81" s="1" t="s">
        <v>294</v>
      </c>
      <c r="G81" s="1" t="s">
        <v>295</v>
      </c>
      <c r="H81" s="1" t="s">
        <v>13</v>
      </c>
      <c r="I81" s="1" t="s">
        <v>14</v>
      </c>
      <c r="J81" s="1" t="s">
        <v>15</v>
      </c>
    </row>
    <row r="82" ht="15.75" customHeight="1">
      <c r="A82" s="1">
        <v>83.0</v>
      </c>
      <c r="B82" s="1" t="s">
        <v>296</v>
      </c>
      <c r="C82" s="1">
        <v>5.7005437424E11</v>
      </c>
      <c r="D82" s="1" t="s">
        <v>297</v>
      </c>
      <c r="E82" s="1" t="s">
        <v>298</v>
      </c>
      <c r="F82" s="1" t="s">
        <v>299</v>
      </c>
      <c r="G82" s="1" t="s">
        <v>27</v>
      </c>
      <c r="H82" s="1" t="s">
        <v>13</v>
      </c>
      <c r="I82" s="1" t="s">
        <v>14</v>
      </c>
      <c r="J82" s="1" t="s">
        <v>15</v>
      </c>
    </row>
    <row r="83" ht="15.75" customHeight="1">
      <c r="A83" s="1">
        <v>84.0</v>
      </c>
      <c r="B83" s="1" t="s">
        <v>300</v>
      </c>
      <c r="C83" s="1">
        <v>5.70054374244E11</v>
      </c>
      <c r="D83" s="1" t="s">
        <v>301</v>
      </c>
      <c r="E83" s="1" t="s">
        <v>302</v>
      </c>
      <c r="F83" s="1" t="s">
        <v>303</v>
      </c>
      <c r="G83" s="1" t="s">
        <v>27</v>
      </c>
      <c r="H83" s="1" t="s">
        <v>13</v>
      </c>
      <c r="I83" s="1" t="s">
        <v>14</v>
      </c>
      <c r="J83" s="1" t="s">
        <v>15</v>
      </c>
    </row>
    <row r="84" ht="15.75" customHeight="1">
      <c r="A84" s="1">
        <v>85.0</v>
      </c>
      <c r="B84" s="1" t="s">
        <v>291</v>
      </c>
      <c r="C84" s="1">
        <v>5.70054374245E11</v>
      </c>
      <c r="D84" s="1" t="s">
        <v>304</v>
      </c>
      <c r="E84" s="1" t="s">
        <v>305</v>
      </c>
      <c r="F84" s="1" t="s">
        <v>306</v>
      </c>
      <c r="G84" s="1" t="s">
        <v>27</v>
      </c>
      <c r="H84" s="1" t="s">
        <v>13</v>
      </c>
      <c r="I84" s="1" t="s">
        <v>14</v>
      </c>
      <c r="J84" s="1" t="s">
        <v>15</v>
      </c>
    </row>
    <row r="85" ht="15.75" customHeight="1">
      <c r="A85" s="1">
        <v>86.0</v>
      </c>
      <c r="B85" s="1" t="s">
        <v>307</v>
      </c>
      <c r="C85" s="1">
        <v>5.70054374246E11</v>
      </c>
      <c r="D85" s="1" t="s">
        <v>308</v>
      </c>
      <c r="E85" s="1" t="s">
        <v>182</v>
      </c>
      <c r="F85" s="1" t="s">
        <v>309</v>
      </c>
      <c r="G85" s="1" t="s">
        <v>144</v>
      </c>
      <c r="H85" s="1" t="s">
        <v>13</v>
      </c>
      <c r="I85" s="1" t="s">
        <v>14</v>
      </c>
      <c r="J85" s="1" t="s">
        <v>15</v>
      </c>
    </row>
    <row r="86" ht="15.75" customHeight="1">
      <c r="A86" s="1">
        <v>87.0</v>
      </c>
      <c r="B86" s="1" t="s">
        <v>58</v>
      </c>
      <c r="C86" s="1">
        <v>5.70054374247E11</v>
      </c>
      <c r="D86" s="1" t="s">
        <v>308</v>
      </c>
      <c r="E86" s="1" t="s">
        <v>182</v>
      </c>
      <c r="F86" s="1" t="s">
        <v>310</v>
      </c>
      <c r="G86" s="1" t="s">
        <v>144</v>
      </c>
      <c r="H86" s="1" t="s">
        <v>13</v>
      </c>
      <c r="I86" s="1" t="s">
        <v>14</v>
      </c>
      <c r="J86" s="1" t="s">
        <v>15</v>
      </c>
    </row>
    <row r="87" ht="15.75" customHeight="1">
      <c r="A87" s="1">
        <v>88.0</v>
      </c>
      <c r="B87" s="1" t="s">
        <v>311</v>
      </c>
      <c r="C87" s="1">
        <v>5.70054374248E11</v>
      </c>
      <c r="D87" s="1" t="s">
        <v>312</v>
      </c>
      <c r="E87" s="1" t="s">
        <v>182</v>
      </c>
      <c r="F87" s="1" t="s">
        <v>220</v>
      </c>
      <c r="G87" s="1" t="s">
        <v>27</v>
      </c>
      <c r="H87" s="1" t="s">
        <v>13</v>
      </c>
      <c r="I87" s="1" t="s">
        <v>14</v>
      </c>
      <c r="J87" s="1" t="s">
        <v>15</v>
      </c>
    </row>
    <row r="88" ht="15.75" customHeight="1">
      <c r="A88" s="1">
        <v>89.0</v>
      </c>
      <c r="B88" s="1" t="s">
        <v>313</v>
      </c>
      <c r="C88" s="1">
        <v>5.70054374249E11</v>
      </c>
      <c r="D88" s="1" t="s">
        <v>314</v>
      </c>
      <c r="E88" s="1" t="s">
        <v>315</v>
      </c>
      <c r="F88" s="1" t="s">
        <v>316</v>
      </c>
      <c r="G88" s="1" t="s">
        <v>144</v>
      </c>
      <c r="H88" s="1" t="s">
        <v>13</v>
      </c>
      <c r="I88" s="1" t="s">
        <v>14</v>
      </c>
      <c r="J88" s="1" t="s">
        <v>15</v>
      </c>
    </row>
    <row r="89" ht="15.75" customHeight="1">
      <c r="A89" s="1">
        <v>90.0</v>
      </c>
      <c r="B89" s="1" t="s">
        <v>317</v>
      </c>
      <c r="C89" s="1">
        <v>5.7005437425E11</v>
      </c>
      <c r="D89" s="1" t="s">
        <v>318</v>
      </c>
      <c r="E89" s="1" t="s">
        <v>302</v>
      </c>
      <c r="F89" s="1" t="s">
        <v>319</v>
      </c>
      <c r="G89" s="1" t="s">
        <v>27</v>
      </c>
      <c r="H89" s="1" t="s">
        <v>13</v>
      </c>
      <c r="I89" s="1" t="s">
        <v>14</v>
      </c>
      <c r="J89" s="1" t="s">
        <v>15</v>
      </c>
    </row>
    <row r="90" ht="15.75" customHeight="1">
      <c r="A90" s="1">
        <v>91.0</v>
      </c>
      <c r="B90" s="1" t="s">
        <v>320</v>
      </c>
      <c r="C90" s="1">
        <v>5.70054374251E11</v>
      </c>
      <c r="D90" s="1" t="s">
        <v>318</v>
      </c>
      <c r="E90" s="1" t="s">
        <v>302</v>
      </c>
      <c r="F90" s="1" t="s">
        <v>321</v>
      </c>
      <c r="G90" s="1" t="s">
        <v>27</v>
      </c>
      <c r="H90" s="1" t="s">
        <v>13</v>
      </c>
      <c r="I90" s="1" t="s">
        <v>14</v>
      </c>
      <c r="J90" s="1" t="s">
        <v>15</v>
      </c>
    </row>
    <row r="91" ht="15.75" customHeight="1">
      <c r="A91" s="1">
        <v>92.0</v>
      </c>
      <c r="B91" s="1" t="s">
        <v>65</v>
      </c>
      <c r="C91" s="1">
        <v>5.70054374252E11</v>
      </c>
      <c r="D91" s="1" t="s">
        <v>322</v>
      </c>
      <c r="E91" s="1" t="s">
        <v>323</v>
      </c>
      <c r="F91" s="1" t="s">
        <v>324</v>
      </c>
      <c r="G91" s="1" t="s">
        <v>27</v>
      </c>
      <c r="H91" s="1" t="s">
        <v>13</v>
      </c>
      <c r="I91" s="1" t="s">
        <v>14</v>
      </c>
      <c r="J91" s="1" t="s">
        <v>15</v>
      </c>
    </row>
    <row r="92" ht="15.75" customHeight="1">
      <c r="A92" s="1">
        <v>93.0</v>
      </c>
      <c r="B92" s="1" t="s">
        <v>325</v>
      </c>
      <c r="C92" s="1">
        <v>5.70054374253E11</v>
      </c>
      <c r="D92" s="1" t="s">
        <v>326</v>
      </c>
      <c r="E92" s="1" t="s">
        <v>251</v>
      </c>
      <c r="F92" s="1" t="s">
        <v>327</v>
      </c>
      <c r="G92" s="1" t="s">
        <v>144</v>
      </c>
      <c r="H92" s="1" t="s">
        <v>13</v>
      </c>
      <c r="I92" s="1" t="s">
        <v>14</v>
      </c>
      <c r="J92" s="1" t="s">
        <v>15</v>
      </c>
    </row>
    <row r="93" ht="15.75" customHeight="1">
      <c r="A93" s="1">
        <v>94.0</v>
      </c>
      <c r="B93" s="1" t="s">
        <v>328</v>
      </c>
      <c r="C93" s="1">
        <v>5.70054374254E11</v>
      </c>
      <c r="D93" s="1" t="s">
        <v>329</v>
      </c>
      <c r="E93" s="1" t="s">
        <v>330</v>
      </c>
      <c r="F93" s="1" t="s">
        <v>331</v>
      </c>
      <c r="G93" s="1" t="s">
        <v>27</v>
      </c>
      <c r="H93" s="1" t="s">
        <v>13</v>
      </c>
      <c r="I93" s="1" t="s">
        <v>14</v>
      </c>
      <c r="J93" s="1" t="s">
        <v>15</v>
      </c>
    </row>
    <row r="94" ht="15.75" customHeight="1">
      <c r="A94" s="1">
        <v>95.0</v>
      </c>
      <c r="B94" s="1" t="s">
        <v>332</v>
      </c>
      <c r="C94" s="1">
        <v>5.70054374255E11</v>
      </c>
      <c r="D94" s="1" t="s">
        <v>333</v>
      </c>
      <c r="E94" s="1" t="s">
        <v>334</v>
      </c>
      <c r="F94" s="1" t="s">
        <v>335</v>
      </c>
      <c r="G94" s="1" t="s">
        <v>27</v>
      </c>
      <c r="H94" s="1" t="s">
        <v>13</v>
      </c>
      <c r="I94" s="1" t="s">
        <v>14</v>
      </c>
      <c r="J94" s="1" t="s">
        <v>15</v>
      </c>
    </row>
    <row r="95" ht="15.75" customHeight="1">
      <c r="A95" s="1">
        <v>96.0</v>
      </c>
      <c r="B95" s="1" t="s">
        <v>336</v>
      </c>
      <c r="C95" s="1">
        <v>5.70054374256E11</v>
      </c>
      <c r="D95" s="1" t="s">
        <v>332</v>
      </c>
      <c r="E95" s="1" t="s">
        <v>330</v>
      </c>
      <c r="F95" s="1" t="s">
        <v>337</v>
      </c>
      <c r="G95" s="1" t="s">
        <v>27</v>
      </c>
      <c r="H95" s="1" t="s">
        <v>13</v>
      </c>
      <c r="I95" s="1" t="s">
        <v>14</v>
      </c>
      <c r="J95" s="1" t="s">
        <v>15</v>
      </c>
    </row>
    <row r="96" ht="15.75" customHeight="1">
      <c r="A96" s="1">
        <v>97.0</v>
      </c>
      <c r="B96" s="1" t="s">
        <v>293</v>
      </c>
      <c r="C96" s="1">
        <v>5.70054374262E11</v>
      </c>
      <c r="D96" s="1" t="s">
        <v>250</v>
      </c>
      <c r="E96" s="1" t="s">
        <v>251</v>
      </c>
      <c r="F96" s="1" t="s">
        <v>338</v>
      </c>
      <c r="G96" s="1" t="s">
        <v>27</v>
      </c>
      <c r="H96" s="1" t="s">
        <v>13</v>
      </c>
      <c r="I96" s="1" t="s">
        <v>14</v>
      </c>
      <c r="J96" s="1" t="s">
        <v>15</v>
      </c>
    </row>
    <row r="97" ht="15.75" customHeight="1">
      <c r="A97" s="1">
        <v>98.0</v>
      </c>
      <c r="B97" s="1" t="s">
        <v>291</v>
      </c>
      <c r="C97" s="1">
        <v>5.70054374268E11</v>
      </c>
      <c r="D97" s="1" t="s">
        <v>339</v>
      </c>
      <c r="E97" s="1" t="s">
        <v>340</v>
      </c>
      <c r="F97" s="1" t="s">
        <v>341</v>
      </c>
      <c r="G97" s="1" t="s">
        <v>27</v>
      </c>
      <c r="H97" s="1" t="s">
        <v>13</v>
      </c>
      <c r="I97" s="1" t="s">
        <v>14</v>
      </c>
      <c r="J97" s="1" t="s">
        <v>15</v>
      </c>
    </row>
    <row r="98" ht="15.75" customHeight="1">
      <c r="A98" s="1">
        <v>99.0</v>
      </c>
      <c r="B98" s="1" t="s">
        <v>342</v>
      </c>
      <c r="C98" s="1">
        <v>5.70054374269E11</v>
      </c>
      <c r="D98" s="1" t="s">
        <v>256</v>
      </c>
      <c r="E98" s="1" t="s">
        <v>163</v>
      </c>
      <c r="F98" s="1" t="s">
        <v>343</v>
      </c>
      <c r="G98" s="1" t="s">
        <v>48</v>
      </c>
      <c r="H98" s="1" t="s">
        <v>13</v>
      </c>
      <c r="I98" s="1" t="s">
        <v>14</v>
      </c>
      <c r="J98" s="1" t="s">
        <v>15</v>
      </c>
    </row>
    <row r="99" ht="15.75" customHeight="1">
      <c r="A99" s="1">
        <v>100.0</v>
      </c>
      <c r="B99" s="1" t="s">
        <v>344</v>
      </c>
      <c r="C99" s="1">
        <v>5.7005437427E11</v>
      </c>
      <c r="D99" s="1" t="s">
        <v>256</v>
      </c>
      <c r="E99" s="1" t="s">
        <v>163</v>
      </c>
      <c r="F99" s="1" t="s">
        <v>345</v>
      </c>
      <c r="G99" s="1" t="s">
        <v>20</v>
      </c>
      <c r="H99" s="1" t="s">
        <v>13</v>
      </c>
      <c r="I99" s="1" t="s">
        <v>14</v>
      </c>
      <c r="J99" s="1" t="s">
        <v>15</v>
      </c>
    </row>
    <row r="100" ht="15.75" customHeight="1">
      <c r="A100" s="1">
        <v>101.0</v>
      </c>
      <c r="B100" s="1" t="s">
        <v>346</v>
      </c>
      <c r="C100" s="1">
        <v>5.70054374271E11</v>
      </c>
      <c r="D100" s="1" t="s">
        <v>347</v>
      </c>
      <c r="E100" s="1" t="s">
        <v>348</v>
      </c>
      <c r="F100" s="1" t="s">
        <v>349</v>
      </c>
      <c r="G100" s="1" t="s">
        <v>27</v>
      </c>
      <c r="H100" s="1" t="s">
        <v>13</v>
      </c>
      <c r="I100" s="1" t="s">
        <v>14</v>
      </c>
      <c r="J100" s="1" t="s">
        <v>15</v>
      </c>
    </row>
    <row r="101" ht="15.75" customHeight="1">
      <c r="A101" s="1">
        <v>102.0</v>
      </c>
      <c r="B101" s="1" t="s">
        <v>350</v>
      </c>
      <c r="C101" s="1">
        <v>5.70054374272E11</v>
      </c>
      <c r="D101" s="1" t="s">
        <v>280</v>
      </c>
      <c r="E101" s="1" t="s">
        <v>351</v>
      </c>
      <c r="F101" s="1" t="s">
        <v>352</v>
      </c>
      <c r="G101" s="1" t="s">
        <v>27</v>
      </c>
      <c r="H101" s="1" t="s">
        <v>13</v>
      </c>
      <c r="I101" s="1" t="s">
        <v>14</v>
      </c>
      <c r="J101" s="1" t="s">
        <v>15</v>
      </c>
    </row>
    <row r="102" ht="15.75" customHeight="1">
      <c r="A102" s="1">
        <v>103.0</v>
      </c>
      <c r="B102" s="1" t="s">
        <v>353</v>
      </c>
      <c r="C102" s="1">
        <v>5.70054374276E11</v>
      </c>
      <c r="D102" s="1" t="s">
        <v>293</v>
      </c>
      <c r="E102" s="1" t="s">
        <v>354</v>
      </c>
      <c r="F102" s="1" t="s">
        <v>355</v>
      </c>
      <c r="G102" s="1" t="s">
        <v>27</v>
      </c>
      <c r="H102" s="1" t="s">
        <v>13</v>
      </c>
      <c r="I102" s="1" t="s">
        <v>14</v>
      </c>
      <c r="J102" s="1" t="s">
        <v>15</v>
      </c>
    </row>
    <row r="103" ht="15.75" customHeight="1">
      <c r="A103" s="1">
        <v>104.0</v>
      </c>
      <c r="B103" s="1" t="s">
        <v>356</v>
      </c>
      <c r="C103" s="1">
        <v>5.70054374277E11</v>
      </c>
      <c r="D103" s="1" t="s">
        <v>304</v>
      </c>
      <c r="E103" s="1" t="s">
        <v>305</v>
      </c>
      <c r="F103" s="1" t="s">
        <v>357</v>
      </c>
      <c r="G103" s="1" t="s">
        <v>144</v>
      </c>
      <c r="H103" s="1" t="s">
        <v>13</v>
      </c>
      <c r="I103" s="1" t="s">
        <v>14</v>
      </c>
      <c r="J103" s="1" t="s">
        <v>15</v>
      </c>
    </row>
    <row r="104" ht="15.75" customHeight="1">
      <c r="A104" s="1">
        <v>105.0</v>
      </c>
      <c r="B104" s="1" t="s">
        <v>130</v>
      </c>
      <c r="C104" s="1">
        <v>5.70054374279E11</v>
      </c>
      <c r="D104" s="1" t="s">
        <v>358</v>
      </c>
      <c r="E104" s="1" t="s">
        <v>251</v>
      </c>
      <c r="F104" s="1" t="s">
        <v>359</v>
      </c>
      <c r="G104" s="1" t="s">
        <v>27</v>
      </c>
      <c r="H104" s="1" t="s">
        <v>13</v>
      </c>
      <c r="I104" s="1" t="s">
        <v>14</v>
      </c>
      <c r="J104" s="1" t="s">
        <v>15</v>
      </c>
    </row>
    <row r="105" ht="15.75" customHeight="1">
      <c r="A105" s="1">
        <v>106.0</v>
      </c>
      <c r="B105" s="1" t="s">
        <v>360</v>
      </c>
      <c r="C105" s="1">
        <v>5.7005437428E11</v>
      </c>
      <c r="D105" s="1" t="s">
        <v>358</v>
      </c>
      <c r="E105" s="1" t="s">
        <v>251</v>
      </c>
      <c r="F105" s="1" t="s">
        <v>361</v>
      </c>
      <c r="G105" s="1" t="s">
        <v>27</v>
      </c>
      <c r="H105" s="1" t="s">
        <v>13</v>
      </c>
      <c r="I105" s="1" t="s">
        <v>14</v>
      </c>
      <c r="J105" s="1" t="s">
        <v>15</v>
      </c>
    </row>
    <row r="106" ht="15.75" customHeight="1">
      <c r="A106" s="1">
        <v>107.0</v>
      </c>
      <c r="B106" s="1" t="s">
        <v>362</v>
      </c>
      <c r="C106" s="1">
        <v>5.70054374283E11</v>
      </c>
      <c r="D106" s="1" t="s">
        <v>363</v>
      </c>
      <c r="E106" s="1" t="s">
        <v>364</v>
      </c>
      <c r="F106" s="1" t="s">
        <v>365</v>
      </c>
      <c r="G106" s="1" t="s">
        <v>27</v>
      </c>
      <c r="H106" s="1" t="s">
        <v>13</v>
      </c>
      <c r="I106" s="1" t="s">
        <v>14</v>
      </c>
      <c r="J106" s="1" t="s">
        <v>15</v>
      </c>
    </row>
    <row r="107" ht="15.75" customHeight="1">
      <c r="A107" s="1">
        <v>108.0</v>
      </c>
      <c r="B107" s="1" t="s">
        <v>366</v>
      </c>
      <c r="C107" s="1">
        <v>5.70054374285E11</v>
      </c>
      <c r="D107" s="1" t="s">
        <v>367</v>
      </c>
      <c r="E107" s="1" t="s">
        <v>368</v>
      </c>
      <c r="F107" s="1" t="s">
        <v>369</v>
      </c>
      <c r="G107" s="1" t="s">
        <v>20</v>
      </c>
      <c r="H107" s="1" t="s">
        <v>13</v>
      </c>
      <c r="I107" s="1" t="s">
        <v>14</v>
      </c>
      <c r="J107" s="1" t="s">
        <v>15</v>
      </c>
    </row>
    <row r="108" ht="15.75" customHeight="1">
      <c r="A108" s="1">
        <v>109.0</v>
      </c>
      <c r="B108" s="1" t="s">
        <v>107</v>
      </c>
      <c r="C108" s="1">
        <v>5.70054374288E11</v>
      </c>
      <c r="D108" s="1" t="s">
        <v>370</v>
      </c>
      <c r="E108" s="1" t="s">
        <v>371</v>
      </c>
      <c r="F108" s="1" t="s">
        <v>372</v>
      </c>
      <c r="G108" s="1" t="s">
        <v>27</v>
      </c>
      <c r="H108" s="1" t="s">
        <v>13</v>
      </c>
      <c r="I108" s="1" t="s">
        <v>14</v>
      </c>
      <c r="J108" s="1" t="s">
        <v>15</v>
      </c>
    </row>
    <row r="109" ht="15.75" customHeight="1">
      <c r="A109" s="1">
        <v>110.0</v>
      </c>
      <c r="B109" s="1" t="s">
        <v>373</v>
      </c>
      <c r="C109" s="1">
        <v>5.70054374291E11</v>
      </c>
      <c r="D109" s="1" t="s">
        <v>279</v>
      </c>
      <c r="E109" s="1" t="s">
        <v>374</v>
      </c>
      <c r="F109" s="1" t="s">
        <v>375</v>
      </c>
      <c r="G109" s="1" t="s">
        <v>144</v>
      </c>
      <c r="H109" s="1" t="s">
        <v>13</v>
      </c>
      <c r="I109" s="1" t="s">
        <v>14</v>
      </c>
      <c r="J109" s="1" t="s">
        <v>15</v>
      </c>
    </row>
    <row r="110" ht="15.75" customHeight="1">
      <c r="A110" s="1">
        <v>111.0</v>
      </c>
      <c r="B110" s="1" t="s">
        <v>376</v>
      </c>
      <c r="C110" s="1">
        <v>5.70054374292E11</v>
      </c>
      <c r="D110" s="1" t="s">
        <v>377</v>
      </c>
      <c r="E110" s="1" t="s">
        <v>298</v>
      </c>
      <c r="F110" s="1" t="s">
        <v>378</v>
      </c>
      <c r="G110" s="1" t="s">
        <v>144</v>
      </c>
      <c r="H110" s="1" t="s">
        <v>13</v>
      </c>
      <c r="I110" s="1" t="s">
        <v>14</v>
      </c>
      <c r="J110" s="1" t="s">
        <v>15</v>
      </c>
    </row>
    <row r="111" ht="15.75" customHeight="1">
      <c r="A111" s="1">
        <v>112.0</v>
      </c>
      <c r="B111" s="1" t="s">
        <v>65</v>
      </c>
      <c r="C111" s="1">
        <v>5.70054374293E11</v>
      </c>
      <c r="D111" s="1" t="s">
        <v>379</v>
      </c>
      <c r="E111" s="1" t="s">
        <v>251</v>
      </c>
      <c r="F111" s="1" t="s">
        <v>380</v>
      </c>
      <c r="G111" s="1" t="s">
        <v>27</v>
      </c>
      <c r="H111" s="1" t="s">
        <v>13</v>
      </c>
      <c r="I111" s="1" t="s">
        <v>14</v>
      </c>
      <c r="J111" s="1" t="s">
        <v>15</v>
      </c>
    </row>
    <row r="112" ht="15.75" customHeight="1">
      <c r="A112" s="1">
        <v>113.0</v>
      </c>
      <c r="B112" s="1" t="s">
        <v>381</v>
      </c>
      <c r="C112" s="1">
        <v>5.70054374294E11</v>
      </c>
      <c r="D112" s="1" t="s">
        <v>79</v>
      </c>
      <c r="E112" s="1" t="s">
        <v>382</v>
      </c>
      <c r="F112" s="1" t="s">
        <v>310</v>
      </c>
      <c r="G112" s="1" t="s">
        <v>144</v>
      </c>
      <c r="H112" s="1" t="s">
        <v>13</v>
      </c>
      <c r="I112" s="1" t="s">
        <v>14</v>
      </c>
      <c r="J112" s="1" t="s">
        <v>15</v>
      </c>
    </row>
    <row r="113" ht="15.75" customHeight="1">
      <c r="A113" s="1">
        <v>114.0</v>
      </c>
      <c r="B113" s="1" t="s">
        <v>383</v>
      </c>
      <c r="C113" s="1">
        <v>5.70054374295E11</v>
      </c>
      <c r="D113" s="1" t="s">
        <v>107</v>
      </c>
      <c r="E113" s="1" t="s">
        <v>384</v>
      </c>
      <c r="F113" s="1" t="s">
        <v>385</v>
      </c>
      <c r="G113" s="1" t="s">
        <v>27</v>
      </c>
      <c r="H113" s="1" t="s">
        <v>13</v>
      </c>
      <c r="I113" s="1" t="s">
        <v>14</v>
      </c>
      <c r="J113" s="1" t="s">
        <v>15</v>
      </c>
    </row>
    <row r="114" ht="15.75" customHeight="1">
      <c r="A114" s="1">
        <v>115.0</v>
      </c>
      <c r="B114" s="1" t="s">
        <v>386</v>
      </c>
      <c r="C114" s="1">
        <v>5.70054374298E11</v>
      </c>
      <c r="D114" s="1" t="s">
        <v>387</v>
      </c>
      <c r="E114" s="1" t="s">
        <v>388</v>
      </c>
      <c r="F114" s="1" t="s">
        <v>389</v>
      </c>
      <c r="G114" s="1" t="s">
        <v>27</v>
      </c>
      <c r="H114" s="1" t="s">
        <v>13</v>
      </c>
      <c r="I114" s="1" t="s">
        <v>14</v>
      </c>
      <c r="J114" s="1" t="s">
        <v>15</v>
      </c>
    </row>
    <row r="115" ht="15.75" customHeight="1">
      <c r="A115" s="1">
        <v>116.0</v>
      </c>
      <c r="B115" s="1" t="s">
        <v>300</v>
      </c>
      <c r="C115" s="1">
        <v>5.700543743E11</v>
      </c>
      <c r="D115" s="1" t="s">
        <v>390</v>
      </c>
      <c r="E115" s="1" t="s">
        <v>391</v>
      </c>
      <c r="F115" s="1" t="s">
        <v>392</v>
      </c>
      <c r="G115" s="1" t="s">
        <v>144</v>
      </c>
      <c r="H115" s="1" t="s">
        <v>13</v>
      </c>
      <c r="I115" s="1" t="s">
        <v>14</v>
      </c>
      <c r="J115" s="1" t="s">
        <v>15</v>
      </c>
    </row>
    <row r="116" ht="15.75" customHeight="1">
      <c r="A116" s="1">
        <v>117.0</v>
      </c>
      <c r="B116" s="1" t="s">
        <v>193</v>
      </c>
      <c r="C116" s="1">
        <v>5.70054374491E11</v>
      </c>
      <c r="D116" s="1" t="s">
        <v>76</v>
      </c>
      <c r="E116" s="1" t="s">
        <v>77</v>
      </c>
      <c r="F116" s="1" t="s">
        <v>393</v>
      </c>
      <c r="G116" s="1" t="s">
        <v>27</v>
      </c>
      <c r="H116" s="1" t="s">
        <v>13</v>
      </c>
      <c r="I116" s="1" t="s">
        <v>14</v>
      </c>
      <c r="J116" s="1" t="s">
        <v>15</v>
      </c>
    </row>
    <row r="117" ht="15.75" customHeight="1">
      <c r="A117" s="1">
        <v>118.0</v>
      </c>
      <c r="B117" s="1" t="s">
        <v>394</v>
      </c>
      <c r="C117" s="1">
        <v>5.70054374501E11</v>
      </c>
      <c r="D117" s="1" t="s">
        <v>395</v>
      </c>
      <c r="E117" s="1" t="s">
        <v>396</v>
      </c>
      <c r="F117" s="1" t="s">
        <v>397</v>
      </c>
      <c r="G117" s="1" t="s">
        <v>40</v>
      </c>
      <c r="H117" s="1" t="s">
        <v>13</v>
      </c>
      <c r="I117" s="1" t="s">
        <v>14</v>
      </c>
      <c r="J117" s="1" t="s">
        <v>15</v>
      </c>
    </row>
    <row r="118" ht="15.75" customHeight="1">
      <c r="A118" s="1">
        <v>119.0</v>
      </c>
      <c r="B118" s="1" t="s">
        <v>398</v>
      </c>
      <c r="C118" s="1">
        <v>5.70054374502E11</v>
      </c>
      <c r="D118" s="1" t="s">
        <v>399</v>
      </c>
      <c r="E118" s="1" t="s">
        <v>400</v>
      </c>
      <c r="F118" s="1" t="s">
        <v>401</v>
      </c>
      <c r="G118" s="1" t="s">
        <v>402</v>
      </c>
      <c r="H118" s="1" t="s">
        <v>13</v>
      </c>
      <c r="I118" s="1" t="s">
        <v>14</v>
      </c>
      <c r="J118" s="1" t="s">
        <v>15</v>
      </c>
    </row>
    <row r="119" ht="15.75" customHeight="1">
      <c r="A119" s="1">
        <v>120.0</v>
      </c>
      <c r="B119" s="1" t="s">
        <v>403</v>
      </c>
      <c r="C119" s="1">
        <v>5.70054374503E11</v>
      </c>
      <c r="D119" s="1" t="s">
        <v>404</v>
      </c>
      <c r="E119" s="1" t="s">
        <v>405</v>
      </c>
      <c r="F119" s="1" t="s">
        <v>406</v>
      </c>
      <c r="G119" s="1" t="s">
        <v>27</v>
      </c>
      <c r="H119" s="1" t="s">
        <v>13</v>
      </c>
      <c r="I119" s="1" t="s">
        <v>14</v>
      </c>
      <c r="J119" s="1" t="s">
        <v>15</v>
      </c>
    </row>
    <row r="120" ht="15.75" customHeight="1">
      <c r="A120" s="1">
        <v>121.0</v>
      </c>
      <c r="B120" s="1" t="s">
        <v>407</v>
      </c>
      <c r="C120" s="1">
        <v>5.70054374504E11</v>
      </c>
      <c r="D120" s="1" t="s">
        <v>408</v>
      </c>
      <c r="E120" s="1" t="s">
        <v>251</v>
      </c>
      <c r="F120" s="1" t="s">
        <v>409</v>
      </c>
      <c r="G120" s="1" t="s">
        <v>27</v>
      </c>
      <c r="H120" s="1" t="s">
        <v>13</v>
      </c>
      <c r="I120" s="1" t="s">
        <v>14</v>
      </c>
      <c r="J120" s="1" t="s">
        <v>15</v>
      </c>
    </row>
    <row r="121" ht="15.75" customHeight="1">
      <c r="A121" s="1">
        <v>122.0</v>
      </c>
      <c r="B121" s="1" t="s">
        <v>410</v>
      </c>
      <c r="C121" s="1">
        <v>5.70054374505E11</v>
      </c>
      <c r="D121" s="1" t="s">
        <v>411</v>
      </c>
      <c r="E121" s="1" t="s">
        <v>412</v>
      </c>
      <c r="F121" s="1" t="s">
        <v>413</v>
      </c>
      <c r="G121" s="1" t="s">
        <v>20</v>
      </c>
      <c r="H121" s="1" t="s">
        <v>13</v>
      </c>
      <c r="I121" s="1" t="s">
        <v>14</v>
      </c>
      <c r="J121" s="1" t="s">
        <v>15</v>
      </c>
    </row>
    <row r="122" ht="15.75" customHeight="1">
      <c r="A122" s="1">
        <v>123.0</v>
      </c>
      <c r="B122" s="1" t="s">
        <v>414</v>
      </c>
      <c r="C122" s="1">
        <v>5.70054374506E11</v>
      </c>
      <c r="D122" s="1" t="s">
        <v>415</v>
      </c>
      <c r="E122" s="1" t="s">
        <v>416</v>
      </c>
      <c r="F122" s="1" t="s">
        <v>417</v>
      </c>
      <c r="G122" s="1" t="s">
        <v>12</v>
      </c>
      <c r="H122" s="1" t="s">
        <v>13</v>
      </c>
      <c r="I122" s="1" t="s">
        <v>14</v>
      </c>
      <c r="J122" s="1" t="s">
        <v>15</v>
      </c>
    </row>
    <row r="123" ht="15.75" customHeight="1">
      <c r="A123" s="1">
        <v>124.0</v>
      </c>
      <c r="B123" s="1" t="s">
        <v>418</v>
      </c>
      <c r="C123" s="1">
        <v>5.70054374507E11</v>
      </c>
      <c r="D123" s="1" t="s">
        <v>419</v>
      </c>
      <c r="E123" s="1" t="s">
        <v>420</v>
      </c>
      <c r="F123" s="1" t="s">
        <v>421</v>
      </c>
      <c r="G123" s="1" t="s">
        <v>144</v>
      </c>
      <c r="H123" s="1" t="s">
        <v>13</v>
      </c>
      <c r="I123" s="1" t="s">
        <v>14</v>
      </c>
      <c r="J123" s="1" t="s">
        <v>15</v>
      </c>
    </row>
    <row r="124" ht="15.75" customHeight="1">
      <c r="A124" s="1">
        <v>125.0</v>
      </c>
      <c r="B124" s="1" t="s">
        <v>422</v>
      </c>
      <c r="C124" s="1">
        <v>5.70054374508E11</v>
      </c>
      <c r="D124" s="1" t="s">
        <v>313</v>
      </c>
      <c r="E124" s="1" t="s">
        <v>423</v>
      </c>
      <c r="F124" s="1" t="s">
        <v>424</v>
      </c>
      <c r="G124" s="1" t="s">
        <v>27</v>
      </c>
      <c r="H124" s="1" t="s">
        <v>13</v>
      </c>
      <c r="I124" s="1" t="s">
        <v>14</v>
      </c>
      <c r="J124" s="1" t="s">
        <v>15</v>
      </c>
    </row>
    <row r="125" ht="15.75" customHeight="1">
      <c r="A125" s="1">
        <v>126.0</v>
      </c>
      <c r="B125" s="1" t="s">
        <v>425</v>
      </c>
      <c r="C125" s="1">
        <v>5.70054374509E11</v>
      </c>
      <c r="D125" s="1" t="s">
        <v>37</v>
      </c>
      <c r="E125" s="1" t="s">
        <v>77</v>
      </c>
      <c r="F125" s="1" t="s">
        <v>426</v>
      </c>
      <c r="G125" s="1" t="s">
        <v>20</v>
      </c>
      <c r="H125" s="1" t="s">
        <v>13</v>
      </c>
      <c r="I125" s="1" t="s">
        <v>14</v>
      </c>
      <c r="J125" s="1" t="s">
        <v>15</v>
      </c>
    </row>
    <row r="126" ht="15.75" customHeight="1">
      <c r="A126" s="1">
        <v>127.0</v>
      </c>
      <c r="B126" s="1" t="s">
        <v>427</v>
      </c>
      <c r="C126" s="1">
        <v>5.7005437451E11</v>
      </c>
      <c r="D126" s="1" t="s">
        <v>326</v>
      </c>
      <c r="E126" s="1" t="s">
        <v>251</v>
      </c>
      <c r="F126" s="1" t="s">
        <v>428</v>
      </c>
      <c r="G126" s="1" t="s">
        <v>40</v>
      </c>
      <c r="H126" s="1" t="s">
        <v>13</v>
      </c>
      <c r="I126" s="1" t="s">
        <v>14</v>
      </c>
      <c r="J126" s="1" t="s">
        <v>15</v>
      </c>
    </row>
    <row r="127" ht="15.75" customHeight="1">
      <c r="A127" s="1">
        <v>128.0</v>
      </c>
      <c r="B127" s="1" t="s">
        <v>130</v>
      </c>
      <c r="C127" s="1">
        <v>5.70054374511E11</v>
      </c>
      <c r="D127" s="1" t="s">
        <v>429</v>
      </c>
      <c r="E127" s="1" t="s">
        <v>430</v>
      </c>
      <c r="F127" s="1" t="s">
        <v>431</v>
      </c>
      <c r="G127" s="1" t="s">
        <v>144</v>
      </c>
      <c r="H127" s="1" t="s">
        <v>13</v>
      </c>
      <c r="I127" s="1" t="s">
        <v>14</v>
      </c>
      <c r="J127" s="1" t="s">
        <v>15</v>
      </c>
    </row>
    <row r="128" ht="15.75" customHeight="1">
      <c r="A128" s="1">
        <v>129.0</v>
      </c>
      <c r="B128" s="1" t="s">
        <v>432</v>
      </c>
      <c r="C128" s="1">
        <v>5.70054374514E11</v>
      </c>
      <c r="D128" s="1" t="s">
        <v>433</v>
      </c>
      <c r="E128" s="1" t="s">
        <v>434</v>
      </c>
      <c r="F128" s="1" t="s">
        <v>435</v>
      </c>
      <c r="G128" s="1" t="s">
        <v>144</v>
      </c>
      <c r="H128" s="1" t="s">
        <v>13</v>
      </c>
      <c r="I128" s="1" t="s">
        <v>14</v>
      </c>
      <c r="J128" s="1" t="s">
        <v>15</v>
      </c>
    </row>
    <row r="129" ht="15.75" customHeight="1">
      <c r="A129" s="1">
        <v>130.0</v>
      </c>
      <c r="B129" s="1" t="s">
        <v>165</v>
      </c>
      <c r="C129" s="1">
        <v>5.70054374515E11</v>
      </c>
      <c r="D129" s="1" t="s">
        <v>436</v>
      </c>
      <c r="E129" s="1" t="s">
        <v>437</v>
      </c>
      <c r="F129" s="1" t="s">
        <v>438</v>
      </c>
      <c r="G129" s="1" t="s">
        <v>144</v>
      </c>
      <c r="H129" s="1" t="s">
        <v>13</v>
      </c>
      <c r="I129" s="1" t="s">
        <v>14</v>
      </c>
      <c r="J129" s="1" t="s">
        <v>15</v>
      </c>
    </row>
    <row r="130" ht="15.75" customHeight="1">
      <c r="A130" s="1">
        <v>131.0</v>
      </c>
      <c r="B130" s="1" t="s">
        <v>439</v>
      </c>
      <c r="C130" s="1">
        <v>5.70054374516E11</v>
      </c>
      <c r="D130" s="1" t="s">
        <v>440</v>
      </c>
      <c r="E130" s="1" t="s">
        <v>441</v>
      </c>
      <c r="F130" s="1" t="s">
        <v>442</v>
      </c>
      <c r="G130" s="1" t="s">
        <v>144</v>
      </c>
      <c r="H130" s="1" t="s">
        <v>13</v>
      </c>
      <c r="I130" s="1" t="s">
        <v>14</v>
      </c>
      <c r="J130" s="1" t="s">
        <v>15</v>
      </c>
    </row>
    <row r="131" ht="15.75" customHeight="1">
      <c r="A131" s="1">
        <v>132.0</v>
      </c>
      <c r="B131" s="1" t="s">
        <v>443</v>
      </c>
      <c r="C131" s="1">
        <v>5.70054374517E11</v>
      </c>
      <c r="D131" s="1" t="s">
        <v>73</v>
      </c>
      <c r="E131" s="1" t="s">
        <v>444</v>
      </c>
      <c r="F131" s="1" t="s">
        <v>445</v>
      </c>
      <c r="G131" s="1" t="s">
        <v>184</v>
      </c>
      <c r="H131" s="1" t="s">
        <v>13</v>
      </c>
      <c r="I131" s="1" t="s">
        <v>14</v>
      </c>
      <c r="J131" s="1" t="s">
        <v>15</v>
      </c>
    </row>
    <row r="132" ht="15.75" customHeight="1">
      <c r="A132" s="1">
        <v>133.0</v>
      </c>
      <c r="B132" s="1" t="s">
        <v>446</v>
      </c>
      <c r="C132" s="1">
        <v>5.70054374518E11</v>
      </c>
      <c r="D132" s="1" t="s">
        <v>241</v>
      </c>
      <c r="E132" s="1" t="s">
        <v>447</v>
      </c>
      <c r="F132" s="1" t="s">
        <v>448</v>
      </c>
      <c r="G132" s="1" t="s">
        <v>27</v>
      </c>
      <c r="H132" s="1" t="s">
        <v>13</v>
      </c>
      <c r="I132" s="1" t="s">
        <v>14</v>
      </c>
      <c r="J132" s="1" t="s">
        <v>15</v>
      </c>
    </row>
    <row r="133" ht="15.75" customHeight="1">
      <c r="A133" s="1">
        <v>134.0</v>
      </c>
      <c r="B133" s="1" t="s">
        <v>449</v>
      </c>
      <c r="C133" s="1">
        <v>5.70054374522E11</v>
      </c>
      <c r="D133" s="1" t="s">
        <v>450</v>
      </c>
      <c r="E133" s="1" t="s">
        <v>451</v>
      </c>
      <c r="F133" s="1" t="s">
        <v>452</v>
      </c>
      <c r="G133" s="1" t="s">
        <v>40</v>
      </c>
      <c r="H133" s="1" t="s">
        <v>13</v>
      </c>
      <c r="I133" s="1" t="s">
        <v>14</v>
      </c>
      <c r="J133" s="1" t="s">
        <v>15</v>
      </c>
    </row>
    <row r="134" ht="15.75" customHeight="1">
      <c r="A134" s="1">
        <v>135.0</v>
      </c>
      <c r="B134" s="1" t="s">
        <v>453</v>
      </c>
      <c r="C134" s="1">
        <v>5.70054374523E11</v>
      </c>
      <c r="D134" s="1" t="s">
        <v>238</v>
      </c>
      <c r="E134" s="1" t="s">
        <v>239</v>
      </c>
      <c r="F134" s="1" t="s">
        <v>454</v>
      </c>
      <c r="G134" s="1" t="s">
        <v>27</v>
      </c>
      <c r="H134" s="1" t="s">
        <v>13</v>
      </c>
      <c r="I134" s="1" t="s">
        <v>14</v>
      </c>
      <c r="J134" s="1" t="s">
        <v>15</v>
      </c>
    </row>
    <row r="135" ht="15.75" customHeight="1">
      <c r="A135" s="1">
        <v>136.0</v>
      </c>
      <c r="B135" s="1" t="s">
        <v>455</v>
      </c>
      <c r="C135" s="1">
        <v>5.70054374524E11</v>
      </c>
      <c r="D135" s="1" t="s">
        <v>456</v>
      </c>
      <c r="E135" s="1" t="s">
        <v>159</v>
      </c>
      <c r="F135" s="1" t="s">
        <v>457</v>
      </c>
      <c r="G135" s="1" t="s">
        <v>27</v>
      </c>
      <c r="H135" s="1" t="s">
        <v>13</v>
      </c>
      <c r="I135" s="1" t="s">
        <v>14</v>
      </c>
      <c r="J135" s="1" t="s">
        <v>15</v>
      </c>
    </row>
    <row r="136" ht="15.75" customHeight="1">
      <c r="A136" s="1">
        <v>137.0</v>
      </c>
      <c r="B136" s="1" t="s">
        <v>458</v>
      </c>
      <c r="C136" s="1">
        <v>5.70054374526E11</v>
      </c>
      <c r="D136" s="1" t="s">
        <v>459</v>
      </c>
      <c r="E136" s="1" t="s">
        <v>460</v>
      </c>
      <c r="F136" s="1" t="s">
        <v>461</v>
      </c>
      <c r="G136" s="1" t="s">
        <v>144</v>
      </c>
      <c r="H136" s="1" t="s">
        <v>13</v>
      </c>
      <c r="I136" s="1" t="s">
        <v>14</v>
      </c>
      <c r="J136" s="1" t="s">
        <v>15</v>
      </c>
    </row>
    <row r="137" ht="15.75" customHeight="1">
      <c r="A137" s="1">
        <v>138.0</v>
      </c>
      <c r="B137" s="1" t="s">
        <v>462</v>
      </c>
      <c r="C137" s="1">
        <v>5.70054374527E11</v>
      </c>
      <c r="D137" s="1" t="s">
        <v>463</v>
      </c>
      <c r="E137" s="1" t="s">
        <v>464</v>
      </c>
      <c r="F137" s="1" t="s">
        <v>465</v>
      </c>
      <c r="G137" s="1" t="s">
        <v>40</v>
      </c>
      <c r="H137" s="1" t="s">
        <v>13</v>
      </c>
      <c r="I137" s="1" t="s">
        <v>14</v>
      </c>
      <c r="J137" s="1" t="s">
        <v>15</v>
      </c>
    </row>
    <row r="138" ht="15.75" customHeight="1">
      <c r="A138" s="1">
        <v>139.0</v>
      </c>
      <c r="B138" s="1" t="s">
        <v>466</v>
      </c>
      <c r="C138" s="1">
        <v>5.7005437453E11</v>
      </c>
      <c r="D138" s="1" t="s">
        <v>467</v>
      </c>
      <c r="E138" s="1" t="s">
        <v>468</v>
      </c>
      <c r="F138" s="1" t="s">
        <v>469</v>
      </c>
      <c r="G138" s="1" t="s">
        <v>27</v>
      </c>
      <c r="H138" s="1" t="s">
        <v>13</v>
      </c>
      <c r="I138" s="1" t="s">
        <v>14</v>
      </c>
      <c r="J138" s="1" t="s">
        <v>15</v>
      </c>
    </row>
    <row r="139" ht="15.75" customHeight="1">
      <c r="A139" s="1">
        <v>140.0</v>
      </c>
      <c r="B139" s="1" t="s">
        <v>470</v>
      </c>
      <c r="C139" s="1">
        <v>5.70054374533E11</v>
      </c>
      <c r="D139" s="1" t="s">
        <v>471</v>
      </c>
      <c r="E139" s="1" t="s">
        <v>472</v>
      </c>
      <c r="F139" s="1" t="s">
        <v>473</v>
      </c>
      <c r="G139" s="1" t="s">
        <v>27</v>
      </c>
      <c r="H139" s="1" t="s">
        <v>13</v>
      </c>
      <c r="I139" s="1" t="s">
        <v>14</v>
      </c>
      <c r="J139" s="1" t="s">
        <v>15</v>
      </c>
    </row>
    <row r="140" ht="15.75" customHeight="1">
      <c r="A140" s="1">
        <v>141.0</v>
      </c>
      <c r="B140" s="1" t="s">
        <v>238</v>
      </c>
      <c r="C140" s="1">
        <v>5.70054374534E11</v>
      </c>
      <c r="D140" s="1" t="s">
        <v>474</v>
      </c>
      <c r="E140" s="1" t="s">
        <v>475</v>
      </c>
      <c r="F140" s="1" t="s">
        <v>476</v>
      </c>
      <c r="G140" s="1" t="s">
        <v>27</v>
      </c>
      <c r="H140" s="1" t="s">
        <v>60</v>
      </c>
      <c r="I140" s="1" t="s">
        <v>14</v>
      </c>
      <c r="J140" s="1" t="s">
        <v>15</v>
      </c>
    </row>
    <row r="141" ht="15.75" customHeight="1">
      <c r="A141" s="1">
        <v>142.0</v>
      </c>
      <c r="B141" s="1" t="s">
        <v>477</v>
      </c>
      <c r="C141" s="1">
        <v>5.70054374537E11</v>
      </c>
      <c r="D141" s="1" t="s">
        <v>222</v>
      </c>
      <c r="E141" s="1" t="s">
        <v>159</v>
      </c>
      <c r="F141" s="1" t="s">
        <v>90</v>
      </c>
      <c r="G141" s="1" t="s">
        <v>20</v>
      </c>
      <c r="H141" s="1" t="s">
        <v>13</v>
      </c>
      <c r="I141" s="1" t="s">
        <v>14</v>
      </c>
      <c r="J141" s="1" t="s">
        <v>15</v>
      </c>
    </row>
    <row r="142" ht="15.75" customHeight="1">
      <c r="A142" s="1">
        <v>143.0</v>
      </c>
      <c r="B142" s="1" t="s">
        <v>300</v>
      </c>
      <c r="C142" s="1">
        <v>5.7005437454E10</v>
      </c>
      <c r="D142" s="1" t="s">
        <v>268</v>
      </c>
      <c r="E142" s="1" t="s">
        <v>478</v>
      </c>
      <c r="F142" s="1" t="s">
        <v>479</v>
      </c>
      <c r="G142" s="1" t="s">
        <v>144</v>
      </c>
      <c r="H142" s="1" t="s">
        <v>13</v>
      </c>
      <c r="I142" s="1" t="s">
        <v>14</v>
      </c>
      <c r="J142" s="1" t="s">
        <v>15</v>
      </c>
    </row>
    <row r="143" ht="15.75" customHeight="1">
      <c r="A143" s="1">
        <v>144.0</v>
      </c>
      <c r="B143" s="1" t="s">
        <v>480</v>
      </c>
      <c r="C143" s="1">
        <v>5.7005437454E10</v>
      </c>
      <c r="D143" s="1" t="s">
        <v>450</v>
      </c>
      <c r="E143" s="1" t="s">
        <v>451</v>
      </c>
      <c r="F143" s="1" t="s">
        <v>481</v>
      </c>
      <c r="G143" s="1" t="s">
        <v>144</v>
      </c>
      <c r="H143" s="1" t="s">
        <v>13</v>
      </c>
      <c r="I143" s="1" t="s">
        <v>14</v>
      </c>
      <c r="J143" s="1" t="s">
        <v>15</v>
      </c>
    </row>
    <row r="144" ht="15.75" customHeight="1">
      <c r="A144" s="1">
        <v>145.0</v>
      </c>
      <c r="B144" s="1" t="s">
        <v>482</v>
      </c>
      <c r="C144" s="1">
        <v>5.7005437454E10</v>
      </c>
      <c r="D144" s="1" t="s">
        <v>483</v>
      </c>
      <c r="E144" s="1" t="s">
        <v>484</v>
      </c>
      <c r="F144" s="1" t="s">
        <v>485</v>
      </c>
      <c r="G144" s="1" t="s">
        <v>144</v>
      </c>
      <c r="H144" s="1" t="s">
        <v>13</v>
      </c>
      <c r="I144" s="1" t="s">
        <v>14</v>
      </c>
      <c r="J144" s="1" t="s">
        <v>15</v>
      </c>
    </row>
    <row r="145" ht="15.75" customHeight="1">
      <c r="A145" s="1">
        <v>146.0</v>
      </c>
      <c r="B145" s="1" t="s">
        <v>293</v>
      </c>
      <c r="C145" s="1">
        <v>5.7005437454E10</v>
      </c>
      <c r="D145" s="1" t="s">
        <v>486</v>
      </c>
      <c r="E145" s="1" t="s">
        <v>416</v>
      </c>
      <c r="F145" s="1" t="s">
        <v>487</v>
      </c>
      <c r="G145" s="1" t="s">
        <v>40</v>
      </c>
      <c r="H145" s="1" t="s">
        <v>13</v>
      </c>
      <c r="I145" s="1" t="s">
        <v>14</v>
      </c>
      <c r="J145" s="1" t="s">
        <v>15</v>
      </c>
    </row>
    <row r="146" ht="15.75" customHeight="1">
      <c r="A146" s="1">
        <v>147.0</v>
      </c>
      <c r="B146" s="1" t="s">
        <v>56</v>
      </c>
      <c r="C146" s="1">
        <v>5.7005437454E10</v>
      </c>
      <c r="D146" s="1" t="s">
        <v>470</v>
      </c>
      <c r="E146" s="1" t="s">
        <v>488</v>
      </c>
      <c r="F146" s="1" t="s">
        <v>489</v>
      </c>
      <c r="G146" s="1" t="s">
        <v>40</v>
      </c>
      <c r="H146" s="1" t="s">
        <v>13</v>
      </c>
      <c r="I146" s="1" t="s">
        <v>14</v>
      </c>
      <c r="J146" s="1" t="s">
        <v>15</v>
      </c>
    </row>
    <row r="147" ht="15.75" customHeight="1">
      <c r="A147" s="1">
        <v>148.0</v>
      </c>
      <c r="B147" s="1" t="s">
        <v>490</v>
      </c>
      <c r="C147" s="1">
        <v>5.7005437454E10</v>
      </c>
      <c r="D147" s="1" t="s">
        <v>491</v>
      </c>
      <c r="E147" s="1" t="s">
        <v>492</v>
      </c>
      <c r="F147" s="1" t="s">
        <v>493</v>
      </c>
      <c r="G147" s="1" t="s">
        <v>27</v>
      </c>
      <c r="H147" s="1" t="s">
        <v>13</v>
      </c>
      <c r="I147" s="1" t="s">
        <v>14</v>
      </c>
      <c r="J147" s="1" t="s">
        <v>15</v>
      </c>
    </row>
    <row r="148" ht="15.75" customHeight="1">
      <c r="A148" s="1">
        <v>149.0</v>
      </c>
      <c r="B148" s="1" t="s">
        <v>494</v>
      </c>
      <c r="C148" s="1">
        <v>5.7005437455E10</v>
      </c>
      <c r="D148" s="1" t="s">
        <v>495</v>
      </c>
      <c r="E148" s="1" t="s">
        <v>496</v>
      </c>
      <c r="F148" s="1" t="s">
        <v>497</v>
      </c>
      <c r="G148" s="1" t="s">
        <v>27</v>
      </c>
      <c r="H148" s="1" t="s">
        <v>13</v>
      </c>
      <c r="I148" s="1" t="s">
        <v>14</v>
      </c>
      <c r="J148" s="1" t="s">
        <v>15</v>
      </c>
    </row>
    <row r="149" ht="15.75" customHeight="1">
      <c r="A149" s="1">
        <v>150.0</v>
      </c>
      <c r="B149" s="1" t="s">
        <v>498</v>
      </c>
      <c r="C149" s="1">
        <v>5.7005437455E10</v>
      </c>
      <c r="D149" s="1" t="s">
        <v>320</v>
      </c>
      <c r="E149" s="1" t="s">
        <v>441</v>
      </c>
      <c r="F149" s="1" t="s">
        <v>499</v>
      </c>
      <c r="G149" s="1" t="s">
        <v>40</v>
      </c>
      <c r="H149" s="1" t="s">
        <v>13</v>
      </c>
      <c r="I149" s="1" t="s">
        <v>14</v>
      </c>
      <c r="J149" s="1" t="s">
        <v>15</v>
      </c>
    </row>
    <row r="150" ht="15.75" customHeight="1">
      <c r="A150" s="1">
        <v>151.0</v>
      </c>
      <c r="B150" s="1" t="s">
        <v>500</v>
      </c>
      <c r="C150" s="1">
        <v>5.7005437455E10</v>
      </c>
      <c r="D150" s="1" t="s">
        <v>501</v>
      </c>
      <c r="E150" s="1" t="s">
        <v>502</v>
      </c>
      <c r="F150" s="1" t="s">
        <v>503</v>
      </c>
      <c r="G150" s="1" t="s">
        <v>27</v>
      </c>
      <c r="H150" s="1" t="s">
        <v>13</v>
      </c>
      <c r="I150" s="1" t="s">
        <v>14</v>
      </c>
      <c r="J150" s="1" t="s">
        <v>15</v>
      </c>
    </row>
    <row r="151" ht="15.75" customHeight="1">
      <c r="A151" s="1">
        <v>152.0</v>
      </c>
      <c r="B151" s="1" t="s">
        <v>193</v>
      </c>
      <c r="C151" s="1">
        <v>5.7005437455E10</v>
      </c>
      <c r="D151" s="1" t="s">
        <v>504</v>
      </c>
      <c r="E151" s="1" t="s">
        <v>505</v>
      </c>
      <c r="F151" s="1" t="s">
        <v>506</v>
      </c>
      <c r="G151" s="1" t="s">
        <v>27</v>
      </c>
      <c r="H151" s="1" t="s">
        <v>13</v>
      </c>
      <c r="I151" s="1" t="s">
        <v>14</v>
      </c>
      <c r="J151" s="1" t="s">
        <v>15</v>
      </c>
    </row>
    <row r="152" ht="15.75" customHeight="1">
      <c r="A152" s="1">
        <v>153.0</v>
      </c>
      <c r="B152" s="1" t="s">
        <v>507</v>
      </c>
      <c r="C152" s="1">
        <v>5.7005437455E10</v>
      </c>
      <c r="D152" s="1" t="s">
        <v>508</v>
      </c>
      <c r="E152" s="1" t="s">
        <v>509</v>
      </c>
      <c r="F152" s="1" t="s">
        <v>510</v>
      </c>
      <c r="G152" s="1" t="s">
        <v>27</v>
      </c>
      <c r="H152" s="1" t="s">
        <v>13</v>
      </c>
      <c r="I152" s="1" t="s">
        <v>14</v>
      </c>
      <c r="J152" s="1" t="s">
        <v>15</v>
      </c>
    </row>
    <row r="153" ht="15.75" customHeight="1">
      <c r="A153" s="1">
        <v>154.0</v>
      </c>
      <c r="B153" s="1" t="s">
        <v>511</v>
      </c>
      <c r="C153" s="1">
        <v>5.7005437455E10</v>
      </c>
      <c r="D153" s="1" t="s">
        <v>512</v>
      </c>
      <c r="E153" s="1" t="s">
        <v>513</v>
      </c>
      <c r="F153" s="1" t="s">
        <v>514</v>
      </c>
      <c r="G153" s="1" t="s">
        <v>144</v>
      </c>
      <c r="H153" s="1" t="s">
        <v>13</v>
      </c>
      <c r="I153" s="1" t="s">
        <v>14</v>
      </c>
      <c r="J153" s="1" t="s">
        <v>15</v>
      </c>
    </row>
    <row r="154" ht="15.75" customHeight="1">
      <c r="A154" s="1">
        <v>155.0</v>
      </c>
      <c r="B154" s="1" t="s">
        <v>515</v>
      </c>
      <c r="C154" s="1">
        <v>5.7005437456E10</v>
      </c>
      <c r="D154" s="1" t="s">
        <v>286</v>
      </c>
      <c r="E154" s="1" t="s">
        <v>516</v>
      </c>
      <c r="F154" s="1" t="s">
        <v>517</v>
      </c>
      <c r="G154" s="1" t="s">
        <v>20</v>
      </c>
      <c r="H154" s="1" t="s">
        <v>13</v>
      </c>
      <c r="I154" s="1" t="s">
        <v>14</v>
      </c>
      <c r="J154" s="1" t="s">
        <v>15</v>
      </c>
    </row>
    <row r="155" ht="15.75" customHeight="1">
      <c r="A155" s="1">
        <v>156.0</v>
      </c>
      <c r="B155" s="1" t="s">
        <v>238</v>
      </c>
      <c r="C155" s="1">
        <v>5.7005437456E10</v>
      </c>
      <c r="D155" s="1" t="s">
        <v>201</v>
      </c>
      <c r="E155" s="1" t="s">
        <v>518</v>
      </c>
      <c r="F155" s="1" t="s">
        <v>519</v>
      </c>
      <c r="G155" s="1" t="s">
        <v>144</v>
      </c>
      <c r="H155" s="1" t="s">
        <v>13</v>
      </c>
      <c r="I155" s="1" t="s">
        <v>14</v>
      </c>
      <c r="J155" s="1" t="s">
        <v>15</v>
      </c>
    </row>
    <row r="156" ht="15.75" customHeight="1">
      <c r="A156" s="1">
        <v>157.0</v>
      </c>
      <c r="B156" s="1" t="s">
        <v>520</v>
      </c>
      <c r="C156" s="1">
        <v>5.7005437456E10</v>
      </c>
      <c r="D156" s="1" t="s">
        <v>521</v>
      </c>
      <c r="E156" s="1" t="s">
        <v>472</v>
      </c>
      <c r="F156" s="1" t="s">
        <v>522</v>
      </c>
      <c r="G156" s="1" t="s">
        <v>40</v>
      </c>
      <c r="H156" s="1" t="s">
        <v>13</v>
      </c>
      <c r="I156" s="1" t="s">
        <v>14</v>
      </c>
      <c r="J156" s="1" t="s">
        <v>15</v>
      </c>
    </row>
    <row r="157" ht="15.75" customHeight="1">
      <c r="A157" s="1">
        <v>158.0</v>
      </c>
      <c r="B157" s="1" t="s">
        <v>523</v>
      </c>
      <c r="C157" s="1">
        <v>5.7005437457E10</v>
      </c>
      <c r="D157" s="1" t="s">
        <v>286</v>
      </c>
      <c r="E157" s="1" t="s">
        <v>524</v>
      </c>
      <c r="F157" s="1" t="s">
        <v>525</v>
      </c>
      <c r="G157" s="1" t="s">
        <v>156</v>
      </c>
      <c r="H157" s="1" t="s">
        <v>13</v>
      </c>
      <c r="I157" s="1" t="s">
        <v>14</v>
      </c>
      <c r="J157" s="1" t="s">
        <v>15</v>
      </c>
    </row>
    <row r="158" ht="15.75" customHeight="1">
      <c r="A158" s="1">
        <v>159.0</v>
      </c>
      <c r="B158" s="1" t="s">
        <v>153</v>
      </c>
      <c r="C158" s="1">
        <v>5.7005437457E10</v>
      </c>
      <c r="D158" s="1" t="s">
        <v>526</v>
      </c>
      <c r="E158" s="1" t="s">
        <v>527</v>
      </c>
      <c r="F158" s="1" t="s">
        <v>528</v>
      </c>
      <c r="G158" s="1" t="s">
        <v>27</v>
      </c>
      <c r="H158" s="1" t="s">
        <v>13</v>
      </c>
      <c r="I158" s="1" t="s">
        <v>14</v>
      </c>
      <c r="J158" s="1" t="s">
        <v>15</v>
      </c>
    </row>
    <row r="159" ht="15.75" customHeight="1">
      <c r="A159" s="1">
        <v>160.0</v>
      </c>
      <c r="B159" s="1" t="s">
        <v>529</v>
      </c>
      <c r="C159" s="1">
        <v>5.7005437457E10</v>
      </c>
      <c r="D159" s="1" t="s">
        <v>530</v>
      </c>
      <c r="E159" s="1" t="s">
        <v>531</v>
      </c>
      <c r="F159" s="1" t="s">
        <v>532</v>
      </c>
      <c r="G159" s="1" t="s">
        <v>40</v>
      </c>
      <c r="H159" s="1" t="s">
        <v>13</v>
      </c>
      <c r="I159" s="1" t="s">
        <v>14</v>
      </c>
      <c r="J159" s="1" t="s">
        <v>15</v>
      </c>
    </row>
    <row r="160" ht="15.75" customHeight="1">
      <c r="A160" s="1">
        <v>161.0</v>
      </c>
      <c r="B160" s="1" t="s">
        <v>533</v>
      </c>
      <c r="C160" s="1">
        <v>5.7005437457E10</v>
      </c>
      <c r="D160" s="1" t="s">
        <v>534</v>
      </c>
      <c r="E160" s="1" t="s">
        <v>535</v>
      </c>
      <c r="F160" s="1" t="s">
        <v>536</v>
      </c>
      <c r="G160" s="1" t="s">
        <v>40</v>
      </c>
      <c r="H160" s="1" t="s">
        <v>13</v>
      </c>
      <c r="I160" s="1" t="s">
        <v>14</v>
      </c>
      <c r="J160" s="1" t="s">
        <v>15</v>
      </c>
    </row>
    <row r="161" ht="15.75" customHeight="1">
      <c r="A161" s="1">
        <v>162.0</v>
      </c>
      <c r="B161" s="1" t="s">
        <v>537</v>
      </c>
      <c r="C161" s="1">
        <v>5.7005437457E10</v>
      </c>
      <c r="D161" s="1" t="s">
        <v>538</v>
      </c>
      <c r="E161" s="1" t="s">
        <v>539</v>
      </c>
      <c r="F161" s="1" t="s">
        <v>540</v>
      </c>
      <c r="G161" s="1" t="s">
        <v>27</v>
      </c>
      <c r="H161" s="1" t="s">
        <v>13</v>
      </c>
      <c r="I161" s="1" t="s">
        <v>14</v>
      </c>
      <c r="J161" s="1" t="s">
        <v>15</v>
      </c>
    </row>
    <row r="162" ht="15.75" customHeight="1">
      <c r="A162" s="1">
        <v>163.0</v>
      </c>
      <c r="B162" s="1" t="s">
        <v>541</v>
      </c>
      <c r="C162" s="1">
        <v>5.7005437458E10</v>
      </c>
      <c r="D162" s="1" t="s">
        <v>291</v>
      </c>
      <c r="E162" s="1" t="s">
        <v>142</v>
      </c>
      <c r="F162" s="1" t="s">
        <v>542</v>
      </c>
      <c r="G162" s="1" t="s">
        <v>27</v>
      </c>
      <c r="H162" s="1" t="s">
        <v>13</v>
      </c>
      <c r="I162" s="1" t="s">
        <v>14</v>
      </c>
      <c r="J162" s="1" t="s">
        <v>15</v>
      </c>
    </row>
    <row r="163" ht="15.75" customHeight="1">
      <c r="A163" s="1">
        <v>164.0</v>
      </c>
      <c r="B163" s="1" t="s">
        <v>543</v>
      </c>
      <c r="C163" s="1">
        <v>5.7005437458E10</v>
      </c>
      <c r="D163" s="1" t="s">
        <v>356</v>
      </c>
      <c r="E163" s="1" t="s">
        <v>544</v>
      </c>
      <c r="F163" s="1" t="s">
        <v>545</v>
      </c>
      <c r="G163" s="1" t="s">
        <v>27</v>
      </c>
      <c r="H163" s="1" t="s">
        <v>13</v>
      </c>
      <c r="I163" s="1" t="s">
        <v>14</v>
      </c>
      <c r="J163" s="1" t="s">
        <v>15</v>
      </c>
    </row>
    <row r="164" ht="15.75" customHeight="1">
      <c r="A164" s="1">
        <v>165.0</v>
      </c>
      <c r="B164" s="1" t="s">
        <v>546</v>
      </c>
      <c r="C164" s="1">
        <v>5.7005437458E10</v>
      </c>
      <c r="D164" s="1" t="s">
        <v>547</v>
      </c>
      <c r="E164" s="1" t="s">
        <v>548</v>
      </c>
      <c r="F164" s="1" t="s">
        <v>549</v>
      </c>
      <c r="G164" s="1" t="s">
        <v>27</v>
      </c>
      <c r="H164" s="1" t="s">
        <v>13</v>
      </c>
      <c r="I164" s="1" t="s">
        <v>14</v>
      </c>
      <c r="J164" s="1" t="s">
        <v>15</v>
      </c>
    </row>
    <row r="165" ht="15.75" customHeight="1">
      <c r="A165" s="1">
        <v>166.0</v>
      </c>
      <c r="B165" s="1" t="s">
        <v>550</v>
      </c>
      <c r="C165" s="1">
        <v>5.7005437458E10</v>
      </c>
      <c r="D165" s="1" t="s">
        <v>551</v>
      </c>
      <c r="E165" s="1" t="s">
        <v>552</v>
      </c>
      <c r="F165" s="1" t="s">
        <v>553</v>
      </c>
      <c r="G165" s="1" t="s">
        <v>20</v>
      </c>
      <c r="H165" s="1" t="s">
        <v>13</v>
      </c>
      <c r="I165" s="1" t="s">
        <v>14</v>
      </c>
      <c r="J165" s="1" t="s">
        <v>15</v>
      </c>
    </row>
    <row r="166" ht="15.75" customHeight="1">
      <c r="A166" s="1">
        <v>167.0</v>
      </c>
      <c r="B166" s="1" t="s">
        <v>554</v>
      </c>
      <c r="C166" s="1">
        <v>5.7005437459E10</v>
      </c>
      <c r="D166" s="1" t="s">
        <v>555</v>
      </c>
      <c r="E166" s="1" t="s">
        <v>556</v>
      </c>
      <c r="F166" s="1" t="s">
        <v>557</v>
      </c>
      <c r="G166" s="1" t="s">
        <v>27</v>
      </c>
      <c r="H166" s="1" t="s">
        <v>13</v>
      </c>
      <c r="I166" s="1" t="s">
        <v>14</v>
      </c>
      <c r="J166" s="1" t="s">
        <v>15</v>
      </c>
    </row>
    <row r="167" ht="15.75" customHeight="1">
      <c r="A167" s="1">
        <v>168.0</v>
      </c>
      <c r="B167" s="1" t="s">
        <v>558</v>
      </c>
      <c r="C167" s="1">
        <v>5.7005437459E10</v>
      </c>
      <c r="D167" s="1" t="s">
        <v>559</v>
      </c>
      <c r="E167" s="1" t="s">
        <v>560</v>
      </c>
      <c r="F167" s="1" t="s">
        <v>561</v>
      </c>
      <c r="G167" s="1" t="s">
        <v>144</v>
      </c>
      <c r="H167" s="1" t="s">
        <v>13</v>
      </c>
      <c r="I167" s="1" t="s">
        <v>14</v>
      </c>
      <c r="J167" s="1" t="s">
        <v>15</v>
      </c>
    </row>
    <row r="168" ht="15.75" customHeight="1">
      <c r="A168" s="1">
        <v>169.0</v>
      </c>
      <c r="B168" s="1" t="s">
        <v>562</v>
      </c>
      <c r="C168" s="1">
        <v>5.7005437464E10</v>
      </c>
      <c r="D168" s="1" t="s">
        <v>78</v>
      </c>
      <c r="E168" s="1" t="s">
        <v>563</v>
      </c>
      <c r="F168" s="1" t="s">
        <v>564</v>
      </c>
      <c r="G168" s="1" t="s">
        <v>144</v>
      </c>
      <c r="H168" s="1" t="s">
        <v>13</v>
      </c>
      <c r="I168" s="1" t="s">
        <v>14</v>
      </c>
      <c r="J168" s="1" t="s">
        <v>15</v>
      </c>
    </row>
    <row r="169" ht="15.75" customHeight="1">
      <c r="A169" s="1">
        <v>170.0</v>
      </c>
      <c r="B169" s="1" t="s">
        <v>511</v>
      </c>
      <c r="C169" s="1">
        <v>5.7005437464E10</v>
      </c>
      <c r="D169" s="1" t="s">
        <v>157</v>
      </c>
      <c r="E169" s="1" t="s">
        <v>565</v>
      </c>
      <c r="F169" s="1" t="s">
        <v>566</v>
      </c>
      <c r="G169" s="1" t="s">
        <v>27</v>
      </c>
      <c r="H169" s="1" t="s">
        <v>13</v>
      </c>
      <c r="I169" s="1" t="s">
        <v>14</v>
      </c>
      <c r="J169" s="1" t="s">
        <v>15</v>
      </c>
    </row>
    <row r="170" ht="15.75" customHeight="1">
      <c r="A170" s="1">
        <v>171.0</v>
      </c>
      <c r="B170" s="1" t="s">
        <v>197</v>
      </c>
      <c r="C170" s="1">
        <v>5.7005437464E10</v>
      </c>
      <c r="D170" s="1" t="s">
        <v>559</v>
      </c>
      <c r="E170" s="1" t="s">
        <v>560</v>
      </c>
      <c r="F170" s="1" t="s">
        <v>567</v>
      </c>
      <c r="G170" s="1" t="s">
        <v>27</v>
      </c>
      <c r="H170" s="1" t="s">
        <v>13</v>
      </c>
      <c r="I170" s="1" t="s">
        <v>14</v>
      </c>
      <c r="J170" s="1" t="s">
        <v>15</v>
      </c>
    </row>
    <row r="171" ht="15.75" customHeight="1">
      <c r="A171" s="1">
        <v>172.0</v>
      </c>
      <c r="B171" s="1" t="s">
        <v>568</v>
      </c>
      <c r="C171" s="1">
        <v>5.7005437464E10</v>
      </c>
      <c r="D171" s="1" t="s">
        <v>79</v>
      </c>
      <c r="E171" s="1" t="s">
        <v>569</v>
      </c>
      <c r="F171" s="1" t="s">
        <v>570</v>
      </c>
      <c r="G171" s="1" t="s">
        <v>27</v>
      </c>
      <c r="H171" s="1" t="s">
        <v>13</v>
      </c>
      <c r="I171" s="1" t="s">
        <v>14</v>
      </c>
      <c r="J171" s="1" t="s">
        <v>15</v>
      </c>
    </row>
    <row r="172" ht="15.75" customHeight="1">
      <c r="A172" s="1">
        <v>173.0</v>
      </c>
      <c r="B172" s="1" t="s">
        <v>571</v>
      </c>
      <c r="C172" s="1">
        <v>5.7005437465E10</v>
      </c>
      <c r="D172" s="1" t="s">
        <v>572</v>
      </c>
      <c r="E172" s="1" t="s">
        <v>405</v>
      </c>
      <c r="F172" s="1" t="s">
        <v>573</v>
      </c>
      <c r="G172" s="1" t="s">
        <v>40</v>
      </c>
      <c r="H172" s="1" t="s">
        <v>13</v>
      </c>
      <c r="I172" s="1" t="s">
        <v>14</v>
      </c>
      <c r="J172" s="1" t="s">
        <v>15</v>
      </c>
    </row>
    <row r="173" ht="15.75" customHeight="1">
      <c r="A173" s="1">
        <v>174.0</v>
      </c>
      <c r="B173" s="1" t="s">
        <v>137</v>
      </c>
      <c r="C173" s="1">
        <v>5.7005437465E10</v>
      </c>
      <c r="D173" s="1" t="s">
        <v>574</v>
      </c>
      <c r="E173" s="1" t="s">
        <v>472</v>
      </c>
      <c r="F173" s="1" t="s">
        <v>575</v>
      </c>
      <c r="G173" s="1" t="s">
        <v>40</v>
      </c>
      <c r="H173" s="1" t="s">
        <v>13</v>
      </c>
      <c r="I173" s="1" t="s">
        <v>14</v>
      </c>
      <c r="J173" s="1" t="s">
        <v>15</v>
      </c>
    </row>
    <row r="174" ht="15.75" customHeight="1">
      <c r="A174" s="1">
        <v>175.0</v>
      </c>
      <c r="B174" s="1" t="s">
        <v>576</v>
      </c>
      <c r="C174" s="1">
        <v>5.7005437465E10</v>
      </c>
      <c r="D174" s="1" t="s">
        <v>577</v>
      </c>
      <c r="E174" s="1" t="s">
        <v>578</v>
      </c>
      <c r="F174" s="1" t="s">
        <v>93</v>
      </c>
      <c r="G174" s="1" t="s">
        <v>27</v>
      </c>
      <c r="H174" s="1" t="s">
        <v>13</v>
      </c>
      <c r="I174" s="1" t="s">
        <v>14</v>
      </c>
      <c r="J174" s="1" t="s">
        <v>15</v>
      </c>
    </row>
    <row r="175" ht="15.75" customHeight="1">
      <c r="A175" s="1">
        <v>176.0</v>
      </c>
      <c r="B175" s="1" t="s">
        <v>579</v>
      </c>
      <c r="C175" s="1">
        <v>5.7005437465E10</v>
      </c>
      <c r="D175" s="1" t="s">
        <v>580</v>
      </c>
      <c r="E175" s="1" t="s">
        <v>581</v>
      </c>
      <c r="F175" s="1" t="s">
        <v>582</v>
      </c>
      <c r="G175" s="1" t="s">
        <v>27</v>
      </c>
      <c r="H175" s="1" t="s">
        <v>13</v>
      </c>
      <c r="I175" s="1" t="s">
        <v>14</v>
      </c>
      <c r="J175" s="1" t="s">
        <v>15</v>
      </c>
    </row>
    <row r="176" ht="15.75" customHeight="1">
      <c r="A176" s="1">
        <v>177.0</v>
      </c>
      <c r="B176" s="1" t="s">
        <v>79</v>
      </c>
      <c r="C176" s="1">
        <v>5.7005437466E10</v>
      </c>
      <c r="D176" s="1" t="s">
        <v>583</v>
      </c>
      <c r="E176" s="1" t="s">
        <v>584</v>
      </c>
      <c r="F176" s="1" t="s">
        <v>585</v>
      </c>
      <c r="G176" s="1" t="s">
        <v>27</v>
      </c>
      <c r="H176" s="1" t="s">
        <v>13</v>
      </c>
      <c r="I176" s="1" t="s">
        <v>14</v>
      </c>
      <c r="J176" s="1" t="s">
        <v>15</v>
      </c>
    </row>
    <row r="177" ht="15.75" customHeight="1">
      <c r="A177" s="1">
        <v>178.0</v>
      </c>
      <c r="B177" s="1" t="s">
        <v>35</v>
      </c>
      <c r="C177" s="1">
        <v>5.7005437468E10</v>
      </c>
      <c r="D177" s="1" t="s">
        <v>586</v>
      </c>
      <c r="E177" s="1" t="s">
        <v>587</v>
      </c>
      <c r="F177" s="1" t="s">
        <v>588</v>
      </c>
      <c r="G177" s="1" t="s">
        <v>27</v>
      </c>
      <c r="H177" s="1" t="s">
        <v>13</v>
      </c>
      <c r="I177" s="1" t="s">
        <v>14</v>
      </c>
      <c r="J177" s="1" t="s">
        <v>15</v>
      </c>
    </row>
    <row r="178" ht="15.75" customHeight="1">
      <c r="A178" s="1">
        <v>179.0</v>
      </c>
      <c r="B178" s="1" t="s">
        <v>589</v>
      </c>
      <c r="C178" s="1">
        <v>5.70054375009E11</v>
      </c>
      <c r="D178" s="1" t="s">
        <v>586</v>
      </c>
      <c r="E178" s="1" t="s">
        <v>587</v>
      </c>
      <c r="F178" s="1" t="s">
        <v>590</v>
      </c>
      <c r="G178" s="1" t="s">
        <v>40</v>
      </c>
      <c r="H178" s="1" t="s">
        <v>13</v>
      </c>
      <c r="I178" s="1" t="s">
        <v>14</v>
      </c>
      <c r="J178" s="1" t="s">
        <v>15</v>
      </c>
    </row>
    <row r="179" ht="15.75" customHeight="1">
      <c r="A179" s="1">
        <v>180.0</v>
      </c>
      <c r="B179" s="1" t="s">
        <v>591</v>
      </c>
      <c r="C179" s="1">
        <v>5.70054375011E11</v>
      </c>
      <c r="D179" s="1" t="s">
        <v>592</v>
      </c>
      <c r="E179" s="1" t="s">
        <v>593</v>
      </c>
      <c r="F179" s="1" t="s">
        <v>594</v>
      </c>
      <c r="G179" s="1" t="s">
        <v>27</v>
      </c>
      <c r="H179" s="1" t="s">
        <v>13</v>
      </c>
      <c r="I179" s="1" t="s">
        <v>14</v>
      </c>
      <c r="J179" s="1" t="s">
        <v>15</v>
      </c>
    </row>
    <row r="180" ht="15.75" customHeight="1">
      <c r="A180" s="1">
        <v>181.0</v>
      </c>
      <c r="B180" s="1" t="s">
        <v>595</v>
      </c>
      <c r="C180" s="1">
        <v>5.70054375012E11</v>
      </c>
      <c r="D180" s="1" t="s">
        <v>591</v>
      </c>
      <c r="E180" s="1" t="s">
        <v>150</v>
      </c>
      <c r="F180" s="1" t="s">
        <v>596</v>
      </c>
      <c r="G180" s="1" t="s">
        <v>40</v>
      </c>
      <c r="H180" s="1" t="s">
        <v>13</v>
      </c>
      <c r="I180" s="1" t="s">
        <v>14</v>
      </c>
      <c r="J180" s="1" t="s">
        <v>15</v>
      </c>
    </row>
    <row r="181" ht="15.75" customHeight="1">
      <c r="A181" s="1">
        <v>182.0</v>
      </c>
      <c r="B181" s="1" t="s">
        <v>317</v>
      </c>
      <c r="C181" s="1">
        <v>5.70054375015E11</v>
      </c>
      <c r="D181" s="1" t="s">
        <v>597</v>
      </c>
      <c r="E181" s="1" t="s">
        <v>598</v>
      </c>
      <c r="F181" s="1" t="s">
        <v>599</v>
      </c>
      <c r="G181" s="1" t="s">
        <v>27</v>
      </c>
      <c r="H181" s="1" t="s">
        <v>13</v>
      </c>
      <c r="I181" s="1" t="s">
        <v>14</v>
      </c>
      <c r="J181" s="1" t="s">
        <v>15</v>
      </c>
    </row>
    <row r="182" ht="15.75" customHeight="1">
      <c r="A182" s="1">
        <v>183.0</v>
      </c>
      <c r="B182" s="1" t="s">
        <v>600</v>
      </c>
      <c r="C182" s="1">
        <v>5.70054375017E11</v>
      </c>
      <c r="D182" s="1" t="s">
        <v>601</v>
      </c>
      <c r="E182" s="1" t="s">
        <v>602</v>
      </c>
      <c r="F182" s="1" t="s">
        <v>603</v>
      </c>
      <c r="G182" s="1" t="s">
        <v>40</v>
      </c>
      <c r="H182" s="1" t="s">
        <v>13</v>
      </c>
      <c r="I182" s="1" t="s">
        <v>14</v>
      </c>
      <c r="J182" s="1" t="s">
        <v>15</v>
      </c>
    </row>
    <row r="183" ht="15.75" customHeight="1">
      <c r="A183" s="1">
        <v>184.0</v>
      </c>
      <c r="B183" s="1" t="s">
        <v>604</v>
      </c>
      <c r="C183" s="1">
        <v>5.70054375019E11</v>
      </c>
      <c r="D183" s="1" t="s">
        <v>592</v>
      </c>
      <c r="E183" s="1" t="s">
        <v>593</v>
      </c>
      <c r="F183" s="1" t="s">
        <v>119</v>
      </c>
      <c r="G183" s="1" t="s">
        <v>27</v>
      </c>
      <c r="H183" s="1" t="s">
        <v>13</v>
      </c>
      <c r="I183" s="1" t="s">
        <v>14</v>
      </c>
      <c r="J183" s="1" t="s">
        <v>15</v>
      </c>
    </row>
    <row r="184" ht="15.75" customHeight="1">
      <c r="A184" s="1">
        <v>185.0</v>
      </c>
      <c r="B184" s="1" t="s">
        <v>605</v>
      </c>
      <c r="C184" s="1">
        <v>5.7005437502E11</v>
      </c>
      <c r="D184" s="1" t="s">
        <v>606</v>
      </c>
      <c r="E184" s="1" t="s">
        <v>607</v>
      </c>
      <c r="F184" s="1" t="s">
        <v>608</v>
      </c>
      <c r="G184" s="1" t="s">
        <v>295</v>
      </c>
      <c r="H184" s="1" t="s">
        <v>13</v>
      </c>
      <c r="I184" s="1" t="s">
        <v>14</v>
      </c>
      <c r="J184" s="1" t="s">
        <v>15</v>
      </c>
    </row>
    <row r="185" ht="15.75" customHeight="1">
      <c r="A185" s="1">
        <v>186.0</v>
      </c>
      <c r="B185" s="1" t="s">
        <v>130</v>
      </c>
      <c r="C185" s="1">
        <v>5.70054375022E11</v>
      </c>
      <c r="D185" s="1" t="s">
        <v>609</v>
      </c>
      <c r="E185" s="1" t="s">
        <v>593</v>
      </c>
      <c r="F185" s="1" t="s">
        <v>610</v>
      </c>
      <c r="G185" s="1" t="s">
        <v>20</v>
      </c>
      <c r="H185" s="1" t="s">
        <v>13</v>
      </c>
      <c r="I185" s="1" t="s">
        <v>14</v>
      </c>
      <c r="J185" s="1" t="s">
        <v>15</v>
      </c>
    </row>
    <row r="186" ht="15.75" customHeight="1">
      <c r="A186" s="1">
        <v>187.0</v>
      </c>
      <c r="B186" s="1" t="s">
        <v>611</v>
      </c>
      <c r="C186" s="1">
        <v>5.70054375023E11</v>
      </c>
      <c r="D186" s="1" t="s">
        <v>612</v>
      </c>
      <c r="E186" s="1" t="s">
        <v>613</v>
      </c>
      <c r="F186" s="1" t="s">
        <v>614</v>
      </c>
      <c r="G186" s="1" t="s">
        <v>20</v>
      </c>
      <c r="H186" s="1" t="s">
        <v>13</v>
      </c>
      <c r="I186" s="1" t="s">
        <v>14</v>
      </c>
      <c r="J186" s="1" t="s">
        <v>15</v>
      </c>
    </row>
    <row r="187" ht="15.75" customHeight="1">
      <c r="A187" s="1">
        <v>188.0</v>
      </c>
      <c r="B187" s="1" t="s">
        <v>612</v>
      </c>
      <c r="C187" s="1">
        <v>5.70054375025E11</v>
      </c>
      <c r="D187" s="1" t="s">
        <v>592</v>
      </c>
      <c r="E187" s="1" t="s">
        <v>593</v>
      </c>
      <c r="F187" s="1" t="s">
        <v>615</v>
      </c>
      <c r="G187" s="1" t="s">
        <v>20</v>
      </c>
      <c r="H187" s="1" t="s">
        <v>13</v>
      </c>
      <c r="I187" s="1" t="s">
        <v>14</v>
      </c>
      <c r="J187" s="1" t="s">
        <v>15</v>
      </c>
    </row>
    <row r="188" ht="15.75" customHeight="1">
      <c r="A188" s="1">
        <v>189.0</v>
      </c>
      <c r="B188" s="1" t="s">
        <v>616</v>
      </c>
      <c r="C188" s="1">
        <v>5.70054375026E11</v>
      </c>
      <c r="D188" s="1" t="s">
        <v>617</v>
      </c>
      <c r="E188" s="1" t="s">
        <v>618</v>
      </c>
      <c r="F188" s="1" t="s">
        <v>619</v>
      </c>
      <c r="G188" s="1" t="s">
        <v>27</v>
      </c>
      <c r="H188" s="1" t="s">
        <v>13</v>
      </c>
      <c r="I188" s="1" t="s">
        <v>14</v>
      </c>
      <c r="J188" s="1" t="s">
        <v>15</v>
      </c>
    </row>
    <row r="189" ht="15.75" customHeight="1">
      <c r="A189" s="1">
        <v>190.0</v>
      </c>
      <c r="B189" s="1" t="s">
        <v>620</v>
      </c>
      <c r="C189" s="1">
        <v>5.70054375027E11</v>
      </c>
      <c r="D189" s="1" t="s">
        <v>617</v>
      </c>
      <c r="E189" s="1" t="s">
        <v>621</v>
      </c>
      <c r="F189" s="1" t="s">
        <v>622</v>
      </c>
      <c r="G189" s="1" t="s">
        <v>27</v>
      </c>
      <c r="H189" s="1" t="s">
        <v>13</v>
      </c>
      <c r="I189" s="1" t="s">
        <v>14</v>
      </c>
      <c r="J189" s="1" t="s">
        <v>15</v>
      </c>
    </row>
    <row r="190" ht="15.75" customHeight="1">
      <c r="A190" s="1">
        <v>191.0</v>
      </c>
      <c r="B190" s="1" t="s">
        <v>617</v>
      </c>
      <c r="C190" s="1">
        <v>5.70054375031E11</v>
      </c>
      <c r="D190" s="1" t="s">
        <v>623</v>
      </c>
      <c r="E190" s="1" t="s">
        <v>354</v>
      </c>
      <c r="F190" s="1" t="s">
        <v>624</v>
      </c>
      <c r="G190" s="1" t="s">
        <v>27</v>
      </c>
      <c r="H190" s="1" t="s">
        <v>13</v>
      </c>
      <c r="I190" s="1" t="s">
        <v>14</v>
      </c>
      <c r="J190" s="1" t="s">
        <v>15</v>
      </c>
    </row>
    <row r="191" ht="15.75" customHeight="1">
      <c r="A191" s="1">
        <v>192.0</v>
      </c>
      <c r="B191" s="1" t="s">
        <v>625</v>
      </c>
      <c r="C191" s="1">
        <v>5.70054375038E11</v>
      </c>
      <c r="D191" s="1" t="s">
        <v>626</v>
      </c>
      <c r="E191" s="1" t="s">
        <v>154</v>
      </c>
      <c r="F191" s="1" t="s">
        <v>627</v>
      </c>
      <c r="G191" s="1" t="s">
        <v>40</v>
      </c>
      <c r="H191" s="1" t="s">
        <v>13</v>
      </c>
      <c r="I191" s="1" t="s">
        <v>14</v>
      </c>
      <c r="J191" s="1" t="s">
        <v>15</v>
      </c>
    </row>
    <row r="192" ht="15.75" customHeight="1">
      <c r="A192" s="1">
        <v>193.0</v>
      </c>
      <c r="B192" s="1" t="s">
        <v>628</v>
      </c>
      <c r="C192" s="1">
        <v>5.70054375041E11</v>
      </c>
      <c r="D192" s="1" t="s">
        <v>629</v>
      </c>
      <c r="E192" s="1" t="s">
        <v>630</v>
      </c>
      <c r="F192" s="1" t="s">
        <v>631</v>
      </c>
      <c r="G192" s="1" t="s">
        <v>632</v>
      </c>
      <c r="H192" s="1" t="s">
        <v>13</v>
      </c>
      <c r="I192" s="1" t="s">
        <v>14</v>
      </c>
      <c r="J192" s="1" t="s">
        <v>15</v>
      </c>
    </row>
    <row r="193" ht="15.75" customHeight="1">
      <c r="A193" s="1">
        <v>194.0</v>
      </c>
      <c r="B193" s="1" t="s">
        <v>633</v>
      </c>
      <c r="C193" s="1">
        <v>5.70054375044E11</v>
      </c>
      <c r="D193" s="1" t="s">
        <v>592</v>
      </c>
      <c r="E193" s="1" t="s">
        <v>593</v>
      </c>
      <c r="F193" s="1" t="s">
        <v>634</v>
      </c>
      <c r="G193" s="1" t="s">
        <v>27</v>
      </c>
      <c r="H193" s="1" t="s">
        <v>13</v>
      </c>
      <c r="I193" s="1" t="s">
        <v>14</v>
      </c>
      <c r="J193" s="1" t="s">
        <v>15</v>
      </c>
    </row>
    <row r="194" ht="15.75" customHeight="1">
      <c r="A194" s="1">
        <v>195.0</v>
      </c>
      <c r="B194" s="1" t="s">
        <v>635</v>
      </c>
      <c r="C194" s="1">
        <v>5.70054375045E11</v>
      </c>
      <c r="D194" s="1" t="s">
        <v>636</v>
      </c>
      <c r="E194" s="1" t="s">
        <v>405</v>
      </c>
      <c r="F194" s="1" t="s">
        <v>637</v>
      </c>
      <c r="G194" s="1" t="s">
        <v>27</v>
      </c>
      <c r="H194" s="1" t="s">
        <v>13</v>
      </c>
      <c r="I194" s="1" t="s">
        <v>14</v>
      </c>
      <c r="J194" s="1" t="s">
        <v>15</v>
      </c>
    </row>
    <row r="195" ht="15.75" customHeight="1">
      <c r="A195" s="1">
        <v>196.0</v>
      </c>
      <c r="B195" s="1" t="s">
        <v>638</v>
      </c>
      <c r="C195" s="1">
        <v>5.70054375049E11</v>
      </c>
      <c r="D195" s="1" t="s">
        <v>639</v>
      </c>
      <c r="E195" s="1" t="s">
        <v>405</v>
      </c>
      <c r="F195" s="1" t="s">
        <v>640</v>
      </c>
      <c r="G195" s="1" t="s">
        <v>40</v>
      </c>
      <c r="H195" s="1" t="s">
        <v>13</v>
      </c>
      <c r="I195" s="1" t="s">
        <v>14</v>
      </c>
      <c r="J195" s="1" t="s">
        <v>15</v>
      </c>
    </row>
    <row r="196" ht="15.75" customHeight="1">
      <c r="A196" s="1">
        <v>197.0</v>
      </c>
      <c r="B196" s="1" t="s">
        <v>629</v>
      </c>
      <c r="C196" s="1">
        <v>5.7005437505E11</v>
      </c>
      <c r="D196" s="1" t="s">
        <v>641</v>
      </c>
      <c r="E196" s="1" t="s">
        <v>354</v>
      </c>
      <c r="F196" s="1" t="s">
        <v>642</v>
      </c>
      <c r="G196" s="1" t="s">
        <v>40</v>
      </c>
      <c r="H196" s="1" t="s">
        <v>13</v>
      </c>
      <c r="I196" s="1" t="s">
        <v>14</v>
      </c>
      <c r="J196" s="1" t="s">
        <v>15</v>
      </c>
    </row>
    <row r="197" ht="15.75" customHeight="1">
      <c r="A197" s="1">
        <v>198.0</v>
      </c>
      <c r="B197" s="1" t="s">
        <v>562</v>
      </c>
      <c r="C197" s="1">
        <v>5.70054375052E11</v>
      </c>
      <c r="D197" s="1" t="s">
        <v>639</v>
      </c>
      <c r="E197" s="1" t="s">
        <v>405</v>
      </c>
      <c r="F197" s="1" t="s">
        <v>643</v>
      </c>
      <c r="G197" s="1" t="s">
        <v>644</v>
      </c>
      <c r="H197" s="1" t="s">
        <v>13</v>
      </c>
      <c r="I197" s="1" t="s">
        <v>14</v>
      </c>
      <c r="J197" s="1" t="s">
        <v>15</v>
      </c>
    </row>
    <row r="198" ht="15.75" customHeight="1">
      <c r="A198" s="1">
        <v>199.0</v>
      </c>
      <c r="B198" s="1" t="s">
        <v>645</v>
      </c>
      <c r="C198" s="1">
        <v>5.70054375053E11</v>
      </c>
      <c r="D198" s="1" t="s">
        <v>646</v>
      </c>
      <c r="E198" s="1" t="s">
        <v>405</v>
      </c>
      <c r="F198" s="1" t="s">
        <v>647</v>
      </c>
      <c r="G198" s="1" t="s">
        <v>27</v>
      </c>
      <c r="H198" s="1" t="s">
        <v>13</v>
      </c>
      <c r="I198" s="1" t="s">
        <v>14</v>
      </c>
      <c r="J198" s="1" t="s">
        <v>15</v>
      </c>
    </row>
    <row r="199" ht="15.75" customHeight="1">
      <c r="A199" s="1">
        <v>200.0</v>
      </c>
      <c r="B199" s="1" t="s">
        <v>648</v>
      </c>
      <c r="C199" s="1">
        <v>5.70054375054E11</v>
      </c>
      <c r="D199" s="1" t="s">
        <v>649</v>
      </c>
      <c r="E199" s="1" t="s">
        <v>405</v>
      </c>
      <c r="F199" s="1" t="s">
        <v>650</v>
      </c>
      <c r="G199" s="1" t="s">
        <v>40</v>
      </c>
      <c r="H199" s="1" t="s">
        <v>13</v>
      </c>
      <c r="I199" s="1" t="s">
        <v>14</v>
      </c>
      <c r="J199" s="1" t="s">
        <v>15</v>
      </c>
    </row>
    <row r="200" ht="15.75" customHeight="1">
      <c r="A200" s="1">
        <v>201.0</v>
      </c>
      <c r="B200" s="1" t="s">
        <v>651</v>
      </c>
      <c r="C200" s="1">
        <v>5.70054375055E11</v>
      </c>
      <c r="D200" s="1" t="s">
        <v>652</v>
      </c>
      <c r="E200" s="1" t="s">
        <v>587</v>
      </c>
      <c r="F200" s="1" t="s">
        <v>653</v>
      </c>
      <c r="G200" s="1" t="s">
        <v>632</v>
      </c>
      <c r="H200" s="1" t="s">
        <v>13</v>
      </c>
      <c r="I200" s="1" t="s">
        <v>14</v>
      </c>
      <c r="J200" s="1" t="s">
        <v>15</v>
      </c>
    </row>
    <row r="201" ht="15.75" customHeight="1">
      <c r="A201" s="1">
        <v>202.0</v>
      </c>
      <c r="B201" s="1" t="s">
        <v>654</v>
      </c>
      <c r="C201" s="1">
        <v>5.70054375056E11</v>
      </c>
      <c r="D201" s="1" t="s">
        <v>655</v>
      </c>
      <c r="E201" s="1" t="s">
        <v>656</v>
      </c>
      <c r="F201" s="1" t="s">
        <v>657</v>
      </c>
      <c r="G201" s="1" t="s">
        <v>632</v>
      </c>
      <c r="H201" s="1" t="s">
        <v>13</v>
      </c>
      <c r="I201" s="1" t="s">
        <v>14</v>
      </c>
      <c r="J201" s="1" t="s">
        <v>15</v>
      </c>
    </row>
    <row r="202" ht="15.75" customHeight="1">
      <c r="A202" s="1">
        <v>203.0</v>
      </c>
      <c r="B202" s="1" t="s">
        <v>658</v>
      </c>
      <c r="C202" s="1">
        <v>5.70054375057E11</v>
      </c>
      <c r="D202" s="1" t="s">
        <v>659</v>
      </c>
      <c r="E202" s="1" t="s">
        <v>660</v>
      </c>
      <c r="F202" s="1" t="s">
        <v>661</v>
      </c>
      <c r="G202" s="1" t="s">
        <v>27</v>
      </c>
      <c r="H202" s="1" t="s">
        <v>13</v>
      </c>
      <c r="I202" s="1" t="s">
        <v>14</v>
      </c>
      <c r="J202" s="1" t="s">
        <v>15</v>
      </c>
    </row>
    <row r="203" ht="15.75" customHeight="1">
      <c r="A203" s="1">
        <v>204.0</v>
      </c>
      <c r="B203" s="1" t="s">
        <v>662</v>
      </c>
      <c r="C203" s="1">
        <v>5.70054375059E11</v>
      </c>
      <c r="D203" s="1" t="s">
        <v>663</v>
      </c>
      <c r="E203" s="1" t="s">
        <v>664</v>
      </c>
      <c r="F203" s="1" t="s">
        <v>665</v>
      </c>
      <c r="G203" s="1" t="s">
        <v>644</v>
      </c>
      <c r="H203" s="1" t="s">
        <v>13</v>
      </c>
      <c r="I203" s="1" t="s">
        <v>14</v>
      </c>
      <c r="J203" s="1" t="s">
        <v>15</v>
      </c>
    </row>
    <row r="204" ht="15.75" customHeight="1">
      <c r="A204" s="1">
        <v>205.0</v>
      </c>
      <c r="B204" s="1" t="s">
        <v>666</v>
      </c>
      <c r="C204" s="1">
        <v>5.7005437506E11</v>
      </c>
      <c r="D204" s="1" t="s">
        <v>667</v>
      </c>
      <c r="E204" s="1" t="s">
        <v>505</v>
      </c>
      <c r="F204" s="1" t="s">
        <v>668</v>
      </c>
      <c r="G204" s="1" t="s">
        <v>27</v>
      </c>
      <c r="H204" s="1" t="s">
        <v>13</v>
      </c>
      <c r="I204" s="1" t="s">
        <v>14</v>
      </c>
      <c r="J204" s="1" t="s">
        <v>15</v>
      </c>
    </row>
    <row r="205" ht="15.75" customHeight="1">
      <c r="A205" s="1">
        <v>206.0</v>
      </c>
      <c r="B205" s="1" t="s">
        <v>669</v>
      </c>
      <c r="C205" s="1">
        <v>5.70054375061E11</v>
      </c>
      <c r="D205" s="1" t="s">
        <v>667</v>
      </c>
      <c r="E205" s="1" t="s">
        <v>447</v>
      </c>
      <c r="F205" s="1" t="s">
        <v>670</v>
      </c>
      <c r="G205" s="1" t="s">
        <v>20</v>
      </c>
      <c r="H205" s="1" t="s">
        <v>13</v>
      </c>
      <c r="I205" s="1" t="s">
        <v>14</v>
      </c>
      <c r="J205" s="1" t="s">
        <v>15</v>
      </c>
    </row>
    <row r="206" ht="15.75" customHeight="1">
      <c r="A206" s="1">
        <v>207.0</v>
      </c>
      <c r="B206" s="1" t="s">
        <v>671</v>
      </c>
      <c r="C206" s="1">
        <v>5.70054375063E11</v>
      </c>
      <c r="D206" s="1" t="s">
        <v>672</v>
      </c>
      <c r="E206" s="1" t="s">
        <v>673</v>
      </c>
      <c r="F206" s="1" t="s">
        <v>674</v>
      </c>
      <c r="G206" s="1" t="s">
        <v>40</v>
      </c>
      <c r="H206" s="1" t="s">
        <v>13</v>
      </c>
      <c r="I206" s="1" t="s">
        <v>14</v>
      </c>
      <c r="J206" s="1" t="s">
        <v>15</v>
      </c>
    </row>
    <row r="207" ht="15.75" customHeight="1">
      <c r="A207" s="1">
        <v>208.0</v>
      </c>
      <c r="B207" s="1" t="s">
        <v>675</v>
      </c>
      <c r="C207" s="1">
        <v>5.70054375065E11</v>
      </c>
      <c r="D207" s="1" t="s">
        <v>676</v>
      </c>
      <c r="E207" s="1" t="s">
        <v>677</v>
      </c>
      <c r="F207" s="1" t="s">
        <v>678</v>
      </c>
      <c r="G207" s="1" t="s">
        <v>40</v>
      </c>
      <c r="H207" s="1" t="s">
        <v>13</v>
      </c>
      <c r="I207" s="1" t="s">
        <v>14</v>
      </c>
      <c r="J207" s="1" t="s">
        <v>15</v>
      </c>
    </row>
    <row r="208" ht="15.75" customHeight="1">
      <c r="A208" s="1">
        <v>209.0</v>
      </c>
      <c r="B208" s="1" t="s">
        <v>679</v>
      </c>
      <c r="C208" s="1">
        <v>5.70054375067E11</v>
      </c>
      <c r="D208" s="1" t="s">
        <v>680</v>
      </c>
      <c r="E208" s="1" t="s">
        <v>447</v>
      </c>
      <c r="F208" s="1" t="s">
        <v>681</v>
      </c>
      <c r="G208" s="1" t="s">
        <v>20</v>
      </c>
      <c r="H208" s="1" t="s">
        <v>13</v>
      </c>
      <c r="I208" s="1" t="s">
        <v>14</v>
      </c>
      <c r="J208" s="1" t="s">
        <v>15</v>
      </c>
    </row>
    <row r="209" ht="15.75" customHeight="1">
      <c r="A209" s="1">
        <v>210.0</v>
      </c>
      <c r="B209" s="1" t="s">
        <v>682</v>
      </c>
      <c r="C209" s="1">
        <v>5.70054375069E11</v>
      </c>
      <c r="D209" s="1" t="s">
        <v>404</v>
      </c>
      <c r="E209" s="1" t="s">
        <v>683</v>
      </c>
      <c r="F209" s="1" t="s">
        <v>684</v>
      </c>
      <c r="G209" s="1" t="s">
        <v>27</v>
      </c>
      <c r="H209" s="1" t="s">
        <v>13</v>
      </c>
      <c r="I209" s="1" t="s">
        <v>14</v>
      </c>
      <c r="J209" s="1" t="s">
        <v>15</v>
      </c>
    </row>
    <row r="210" ht="15.75" customHeight="1">
      <c r="A210" s="1">
        <v>211.0</v>
      </c>
      <c r="B210" s="1" t="s">
        <v>685</v>
      </c>
      <c r="C210" s="1">
        <v>5.70054375074E11</v>
      </c>
      <c r="D210" s="1" t="s">
        <v>280</v>
      </c>
      <c r="E210" s="1" t="s">
        <v>351</v>
      </c>
      <c r="F210" s="1" t="s">
        <v>686</v>
      </c>
      <c r="G210" s="1" t="s">
        <v>27</v>
      </c>
      <c r="H210" s="1" t="s">
        <v>13</v>
      </c>
      <c r="I210" s="1" t="s">
        <v>14</v>
      </c>
      <c r="J210" s="1" t="s">
        <v>15</v>
      </c>
    </row>
    <row r="211" ht="15.75" customHeight="1">
      <c r="A211" s="1">
        <v>212.0</v>
      </c>
      <c r="B211" s="1" t="s">
        <v>687</v>
      </c>
      <c r="C211" s="1">
        <v>5.70054375078E11</v>
      </c>
      <c r="D211" s="1" t="s">
        <v>688</v>
      </c>
      <c r="E211" s="1" t="s">
        <v>405</v>
      </c>
      <c r="F211" s="1" t="s">
        <v>689</v>
      </c>
      <c r="G211" s="1" t="s">
        <v>20</v>
      </c>
      <c r="H211" s="1" t="s">
        <v>13</v>
      </c>
      <c r="I211" s="1" t="s">
        <v>14</v>
      </c>
      <c r="J211" s="1" t="s">
        <v>15</v>
      </c>
    </row>
    <row r="212" ht="15.75" customHeight="1">
      <c r="A212" s="1">
        <v>213.0</v>
      </c>
      <c r="B212" s="1" t="s">
        <v>690</v>
      </c>
      <c r="C212" s="1">
        <v>5.7005437508E11</v>
      </c>
      <c r="D212" s="1" t="s">
        <v>691</v>
      </c>
      <c r="E212" s="1" t="s">
        <v>692</v>
      </c>
      <c r="F212" s="1" t="s">
        <v>693</v>
      </c>
      <c r="G212" s="1" t="s">
        <v>402</v>
      </c>
      <c r="H212" s="1" t="s">
        <v>13</v>
      </c>
      <c r="I212" s="1" t="s">
        <v>14</v>
      </c>
      <c r="J212" s="1" t="s">
        <v>15</v>
      </c>
    </row>
    <row r="213" ht="15.75" customHeight="1">
      <c r="A213" s="1">
        <v>214.0</v>
      </c>
      <c r="B213" s="1" t="s">
        <v>694</v>
      </c>
      <c r="C213" s="1">
        <v>5.70054375081E11</v>
      </c>
      <c r="D213" s="1" t="s">
        <v>691</v>
      </c>
      <c r="E213" s="1" t="s">
        <v>692</v>
      </c>
      <c r="F213" s="1" t="s">
        <v>695</v>
      </c>
      <c r="G213" s="1" t="s">
        <v>402</v>
      </c>
      <c r="H213" s="1" t="s">
        <v>13</v>
      </c>
      <c r="I213" s="1" t="s">
        <v>14</v>
      </c>
      <c r="J213" s="1" t="s">
        <v>15</v>
      </c>
    </row>
    <row r="214" ht="15.75" customHeight="1">
      <c r="A214" s="1">
        <v>215.0</v>
      </c>
      <c r="B214" s="1" t="s">
        <v>696</v>
      </c>
      <c r="C214" s="1">
        <v>5.70054375085E11</v>
      </c>
      <c r="D214" s="1" t="s">
        <v>404</v>
      </c>
      <c r="E214" s="1" t="s">
        <v>405</v>
      </c>
      <c r="F214" s="1" t="s">
        <v>697</v>
      </c>
      <c r="G214" s="1" t="s">
        <v>20</v>
      </c>
      <c r="H214" s="1" t="s">
        <v>13</v>
      </c>
      <c r="I214" s="1" t="s">
        <v>14</v>
      </c>
      <c r="J214" s="1" t="s">
        <v>15</v>
      </c>
    </row>
    <row r="215" ht="15.75" customHeight="1">
      <c r="A215" s="1">
        <v>216.0</v>
      </c>
      <c r="B215" s="1" t="s">
        <v>698</v>
      </c>
      <c r="C215" s="1">
        <v>5.70054375086E11</v>
      </c>
      <c r="D215" s="1" t="s">
        <v>404</v>
      </c>
      <c r="E215" s="1" t="s">
        <v>405</v>
      </c>
      <c r="F215" s="1" t="s">
        <v>699</v>
      </c>
      <c r="G215" s="1" t="s">
        <v>27</v>
      </c>
      <c r="H215" s="1" t="s">
        <v>13</v>
      </c>
      <c r="I215" s="1" t="s">
        <v>14</v>
      </c>
      <c r="J215" s="1" t="s">
        <v>15</v>
      </c>
    </row>
    <row r="216" ht="15.75" customHeight="1">
      <c r="A216" s="1">
        <v>217.0</v>
      </c>
      <c r="B216" s="1" t="s">
        <v>700</v>
      </c>
      <c r="C216" s="1">
        <v>5.70054375088E11</v>
      </c>
      <c r="D216" s="1" t="s">
        <v>404</v>
      </c>
      <c r="E216" s="1" t="s">
        <v>405</v>
      </c>
      <c r="F216" s="1" t="s">
        <v>701</v>
      </c>
      <c r="G216" s="1" t="s">
        <v>27</v>
      </c>
      <c r="H216" s="1" t="s">
        <v>13</v>
      </c>
      <c r="I216" s="1" t="s">
        <v>14</v>
      </c>
      <c r="J216" s="1" t="s">
        <v>15</v>
      </c>
    </row>
    <row r="217" ht="15.75" customHeight="1">
      <c r="A217" s="1">
        <v>219.0</v>
      </c>
      <c r="B217" s="1" t="s">
        <v>702</v>
      </c>
      <c r="C217" s="1">
        <v>5.70054375094E11</v>
      </c>
      <c r="D217" s="1" t="s">
        <v>617</v>
      </c>
      <c r="E217" s="1" t="s">
        <v>703</v>
      </c>
      <c r="F217" s="1" t="s">
        <v>704</v>
      </c>
      <c r="G217" s="1" t="s">
        <v>20</v>
      </c>
      <c r="H217" s="1" t="s">
        <v>13</v>
      </c>
      <c r="I217" s="1" t="s">
        <v>14</v>
      </c>
      <c r="J217" s="1" t="s">
        <v>15</v>
      </c>
    </row>
    <row r="218" ht="15.75" customHeight="1">
      <c r="A218" s="1">
        <v>220.0</v>
      </c>
      <c r="B218" s="1" t="s">
        <v>705</v>
      </c>
      <c r="C218" s="1">
        <v>5.70054375096E11</v>
      </c>
      <c r="D218" s="1" t="s">
        <v>706</v>
      </c>
      <c r="E218" s="1" t="s">
        <v>707</v>
      </c>
      <c r="F218" s="1" t="s">
        <v>708</v>
      </c>
      <c r="G218" s="1" t="s">
        <v>27</v>
      </c>
      <c r="H218" s="1" t="s">
        <v>13</v>
      </c>
      <c r="I218" s="1" t="s">
        <v>14</v>
      </c>
      <c r="J218" s="1" t="s">
        <v>15</v>
      </c>
    </row>
    <row r="219" ht="15.75" customHeight="1">
      <c r="A219" s="1">
        <v>221.0</v>
      </c>
      <c r="B219" s="1" t="s">
        <v>709</v>
      </c>
      <c r="C219" s="1">
        <v>5.70054375101E11</v>
      </c>
      <c r="D219" s="1" t="s">
        <v>710</v>
      </c>
      <c r="E219" s="1" t="s">
        <v>711</v>
      </c>
      <c r="F219" s="1" t="s">
        <v>712</v>
      </c>
      <c r="G219" s="1" t="s">
        <v>48</v>
      </c>
      <c r="H219" s="1" t="s">
        <v>13</v>
      </c>
      <c r="I219" s="1" t="s">
        <v>14</v>
      </c>
      <c r="J219" s="1" t="s">
        <v>15</v>
      </c>
    </row>
    <row r="220" ht="15.75" customHeight="1">
      <c r="A220" s="1">
        <v>222.0</v>
      </c>
      <c r="B220" s="1" t="s">
        <v>713</v>
      </c>
      <c r="C220" s="1">
        <v>5.70054375104E11</v>
      </c>
      <c r="D220" s="1" t="s">
        <v>399</v>
      </c>
      <c r="E220" s="1" t="s">
        <v>400</v>
      </c>
      <c r="F220" s="1" t="s">
        <v>345</v>
      </c>
      <c r="G220" s="1" t="s">
        <v>27</v>
      </c>
      <c r="H220" s="1" t="s">
        <v>13</v>
      </c>
      <c r="I220" s="1" t="s">
        <v>14</v>
      </c>
      <c r="J220" s="1" t="s">
        <v>15</v>
      </c>
    </row>
    <row r="221" ht="15.75" customHeight="1">
      <c r="A221" s="1">
        <v>223.0</v>
      </c>
      <c r="B221" s="1" t="s">
        <v>714</v>
      </c>
      <c r="C221" s="1">
        <v>5.70054375106E11</v>
      </c>
      <c r="D221" s="1" t="s">
        <v>399</v>
      </c>
      <c r="E221" s="1" t="s">
        <v>400</v>
      </c>
      <c r="F221" s="1" t="s">
        <v>715</v>
      </c>
      <c r="G221" s="1" t="s">
        <v>20</v>
      </c>
      <c r="H221" s="1" t="s">
        <v>13</v>
      </c>
      <c r="I221" s="1" t="s">
        <v>14</v>
      </c>
      <c r="J221" s="1" t="s">
        <v>15</v>
      </c>
    </row>
    <row r="222" ht="15.75" customHeight="1">
      <c r="A222" s="1">
        <v>224.0</v>
      </c>
      <c r="B222" s="1" t="s">
        <v>716</v>
      </c>
      <c r="C222" s="1">
        <v>5.70054375109E11</v>
      </c>
      <c r="D222" s="1" t="s">
        <v>706</v>
      </c>
      <c r="E222" s="1" t="s">
        <v>707</v>
      </c>
      <c r="F222" s="1" t="s">
        <v>717</v>
      </c>
      <c r="G222" s="1" t="s">
        <v>20</v>
      </c>
      <c r="H222" s="1" t="s">
        <v>13</v>
      </c>
      <c r="I222" s="1" t="s">
        <v>14</v>
      </c>
      <c r="J222" s="1" t="s">
        <v>15</v>
      </c>
    </row>
    <row r="223" ht="15.75" customHeight="1">
      <c r="A223" s="1">
        <v>225.0</v>
      </c>
      <c r="B223" s="1" t="s">
        <v>718</v>
      </c>
      <c r="C223" s="1">
        <v>5.70054375111E11</v>
      </c>
      <c r="D223" s="1" t="s">
        <v>617</v>
      </c>
      <c r="E223" s="1" t="s">
        <v>703</v>
      </c>
      <c r="F223" s="1" t="s">
        <v>719</v>
      </c>
      <c r="G223" s="1" t="s">
        <v>27</v>
      </c>
      <c r="H223" s="1" t="s">
        <v>13</v>
      </c>
      <c r="I223" s="1" t="s">
        <v>14</v>
      </c>
      <c r="J223" s="1" t="s">
        <v>15</v>
      </c>
    </row>
    <row r="224" ht="15.75" customHeight="1">
      <c r="A224" s="1">
        <v>226.0</v>
      </c>
      <c r="B224" s="1" t="s">
        <v>720</v>
      </c>
      <c r="C224" s="1">
        <v>5.70054375112E11</v>
      </c>
      <c r="D224" s="1" t="s">
        <v>721</v>
      </c>
      <c r="E224" s="1" t="s">
        <v>502</v>
      </c>
      <c r="F224" s="1" t="s">
        <v>722</v>
      </c>
      <c r="G224" s="1" t="s">
        <v>27</v>
      </c>
      <c r="H224" s="1" t="s">
        <v>13</v>
      </c>
      <c r="I224" s="1" t="s">
        <v>14</v>
      </c>
      <c r="J224" s="1" t="s">
        <v>15</v>
      </c>
    </row>
    <row r="225" ht="15.75" customHeight="1">
      <c r="A225" s="1">
        <v>227.0</v>
      </c>
      <c r="B225" s="1" t="s">
        <v>723</v>
      </c>
      <c r="C225" s="1">
        <v>5.70054375114E11</v>
      </c>
      <c r="D225" s="1" t="s">
        <v>724</v>
      </c>
      <c r="E225" s="1" t="s">
        <v>725</v>
      </c>
      <c r="F225" s="1" t="s">
        <v>726</v>
      </c>
      <c r="G225" s="1" t="s">
        <v>27</v>
      </c>
      <c r="H225" s="1" t="s">
        <v>13</v>
      </c>
      <c r="I225" s="1" t="s">
        <v>14</v>
      </c>
      <c r="J225" s="1" t="s">
        <v>15</v>
      </c>
    </row>
    <row r="226" ht="15.75" customHeight="1">
      <c r="A226" s="1">
        <v>228.0</v>
      </c>
      <c r="B226" s="1" t="s">
        <v>78</v>
      </c>
      <c r="C226" s="1">
        <v>5.70054375115E11</v>
      </c>
      <c r="D226" s="1" t="s">
        <v>501</v>
      </c>
      <c r="E226" s="1" t="s">
        <v>502</v>
      </c>
      <c r="F226" s="1" t="s">
        <v>727</v>
      </c>
      <c r="G226" s="1" t="s">
        <v>27</v>
      </c>
      <c r="H226" s="1" t="s">
        <v>13</v>
      </c>
      <c r="I226" s="1" t="s">
        <v>14</v>
      </c>
      <c r="J226" s="1" t="s">
        <v>15</v>
      </c>
    </row>
    <row r="227" ht="15.75" customHeight="1">
      <c r="A227" s="1">
        <v>229.0</v>
      </c>
      <c r="B227" s="1" t="s">
        <v>148</v>
      </c>
      <c r="C227" s="1">
        <v>5.70054375117E11</v>
      </c>
      <c r="D227" s="1" t="s">
        <v>501</v>
      </c>
      <c r="E227" s="1" t="s">
        <v>502</v>
      </c>
      <c r="F227" s="1" t="s">
        <v>728</v>
      </c>
      <c r="G227" s="1" t="s">
        <v>27</v>
      </c>
      <c r="H227" s="1" t="s">
        <v>13</v>
      </c>
      <c r="I227" s="1" t="s">
        <v>14</v>
      </c>
      <c r="J227" s="1" t="s">
        <v>15</v>
      </c>
    </row>
    <row r="228" ht="15.75" customHeight="1">
      <c r="A228" s="1">
        <v>230.0</v>
      </c>
      <c r="B228" s="1" t="s">
        <v>729</v>
      </c>
      <c r="C228" s="1">
        <v>5.70054375122E11</v>
      </c>
      <c r="D228" s="1" t="s">
        <v>730</v>
      </c>
      <c r="E228" s="1" t="s">
        <v>354</v>
      </c>
      <c r="F228" s="1" t="s">
        <v>731</v>
      </c>
      <c r="G228" s="1" t="s">
        <v>27</v>
      </c>
      <c r="H228" s="1" t="s">
        <v>13</v>
      </c>
      <c r="I228" s="1" t="s">
        <v>14</v>
      </c>
      <c r="J228" s="1" t="s">
        <v>15</v>
      </c>
    </row>
    <row r="229" ht="15.75" customHeight="1">
      <c r="A229" s="1">
        <v>231.0</v>
      </c>
      <c r="B229" s="1" t="s">
        <v>237</v>
      </c>
      <c r="C229" s="1">
        <v>5.70054375127E11</v>
      </c>
      <c r="D229" s="1" t="s">
        <v>732</v>
      </c>
      <c r="E229" s="1" t="s">
        <v>733</v>
      </c>
      <c r="F229" s="1" t="s">
        <v>734</v>
      </c>
      <c r="G229" s="1" t="s">
        <v>27</v>
      </c>
      <c r="H229" s="1" t="s">
        <v>13</v>
      </c>
      <c r="I229" s="1" t="s">
        <v>14</v>
      </c>
      <c r="J229" s="1" t="s">
        <v>15</v>
      </c>
    </row>
    <row r="230" ht="15.75" customHeight="1">
      <c r="A230" s="2">
        <v>232.0</v>
      </c>
      <c r="B230" s="3" t="s">
        <v>735</v>
      </c>
      <c r="C230" s="2">
        <v>5.70054375131E11</v>
      </c>
      <c r="D230" s="3" t="s">
        <v>736</v>
      </c>
      <c r="E230" s="3" t="s">
        <v>733</v>
      </c>
      <c r="F230" s="3" t="s">
        <v>737</v>
      </c>
      <c r="G230" s="3" t="s">
        <v>27</v>
      </c>
      <c r="H230" s="4" t="s">
        <v>738</v>
      </c>
      <c r="I230" s="3"/>
    </row>
    <row r="231" ht="15.75" customHeight="1">
      <c r="A231" s="2">
        <v>233.0</v>
      </c>
      <c r="B231" s="3" t="s">
        <v>739</v>
      </c>
      <c r="C231" s="2">
        <v>5.70054375136E11</v>
      </c>
      <c r="D231" s="3" t="s">
        <v>740</v>
      </c>
      <c r="E231" s="3" t="s">
        <v>741</v>
      </c>
      <c r="F231" s="3" t="s">
        <v>331</v>
      </c>
      <c r="G231" s="3" t="s">
        <v>295</v>
      </c>
      <c r="H231" s="4" t="s">
        <v>738</v>
      </c>
      <c r="I231" s="3"/>
    </row>
    <row r="232" ht="15.75" customHeight="1">
      <c r="A232" s="2">
        <v>234.0</v>
      </c>
      <c r="B232" s="3" t="s">
        <v>742</v>
      </c>
      <c r="C232" s="2">
        <v>5.70054375137E11</v>
      </c>
      <c r="D232" s="3" t="s">
        <v>743</v>
      </c>
      <c r="E232" s="3" t="s">
        <v>741</v>
      </c>
      <c r="F232" s="3" t="s">
        <v>744</v>
      </c>
      <c r="G232" s="3" t="s">
        <v>27</v>
      </c>
      <c r="H232" s="4" t="s">
        <v>738</v>
      </c>
      <c r="I232" s="3"/>
    </row>
    <row r="233" ht="15.75" customHeight="1">
      <c r="A233" s="2">
        <v>235.0</v>
      </c>
      <c r="B233" s="3" t="s">
        <v>745</v>
      </c>
      <c r="C233" s="2">
        <v>5.70054375138E11</v>
      </c>
      <c r="D233" s="3" t="s">
        <v>746</v>
      </c>
      <c r="E233" s="3" t="s">
        <v>741</v>
      </c>
      <c r="F233" s="3" t="s">
        <v>747</v>
      </c>
      <c r="G233" s="3" t="s">
        <v>27</v>
      </c>
      <c r="H233" s="4" t="s">
        <v>738</v>
      </c>
      <c r="I233" s="3"/>
    </row>
    <row r="234" ht="15.75" customHeight="1">
      <c r="A234" s="2">
        <v>236.0</v>
      </c>
      <c r="B234" s="3" t="s">
        <v>748</v>
      </c>
      <c r="C234" s="2">
        <v>5.70054375141E11</v>
      </c>
      <c r="D234" s="3" t="s">
        <v>280</v>
      </c>
      <c r="E234" s="3" t="s">
        <v>749</v>
      </c>
      <c r="F234" s="3" t="s">
        <v>385</v>
      </c>
      <c r="G234" s="3" t="s">
        <v>27</v>
      </c>
      <c r="H234" s="4" t="s">
        <v>738</v>
      </c>
      <c r="I234" s="3"/>
    </row>
    <row r="235" ht="15.75" customHeight="1">
      <c r="A235" s="2">
        <v>237.0</v>
      </c>
      <c r="B235" s="3" t="s">
        <v>750</v>
      </c>
      <c r="C235" s="2">
        <v>5.70054375144E11</v>
      </c>
      <c r="D235" s="3" t="s">
        <v>751</v>
      </c>
      <c r="E235" s="3" t="s">
        <v>251</v>
      </c>
      <c r="F235" s="3" t="s">
        <v>752</v>
      </c>
      <c r="G235" s="3" t="s">
        <v>27</v>
      </c>
      <c r="H235" s="4" t="s">
        <v>738</v>
      </c>
      <c r="I235" s="3"/>
    </row>
    <row r="236" ht="15.75" customHeight="1">
      <c r="A236" s="2">
        <v>238.0</v>
      </c>
      <c r="B236" s="3" t="s">
        <v>753</v>
      </c>
      <c r="C236" s="2">
        <v>5.70054375148E11</v>
      </c>
      <c r="D236" s="3" t="s">
        <v>754</v>
      </c>
      <c r="E236" s="3" t="s">
        <v>755</v>
      </c>
      <c r="F236" s="3" t="s">
        <v>756</v>
      </c>
      <c r="G236" s="3" t="s">
        <v>27</v>
      </c>
      <c r="H236" s="4" t="s">
        <v>738</v>
      </c>
      <c r="I236" s="3"/>
    </row>
    <row r="237" ht="15.75" customHeight="1">
      <c r="A237" s="2">
        <v>239.0</v>
      </c>
      <c r="B237" s="3" t="s">
        <v>757</v>
      </c>
      <c r="C237" s="2">
        <v>5.70054375152E11</v>
      </c>
      <c r="D237" s="3" t="s">
        <v>751</v>
      </c>
      <c r="E237" s="3" t="s">
        <v>251</v>
      </c>
      <c r="F237" s="3" t="s">
        <v>758</v>
      </c>
      <c r="G237" s="3" t="s">
        <v>27</v>
      </c>
      <c r="H237" s="4" t="s">
        <v>738</v>
      </c>
      <c r="I237" s="3"/>
    </row>
    <row r="238" ht="15.75" customHeight="1">
      <c r="A238" s="2">
        <v>240.0</v>
      </c>
      <c r="B238" s="3" t="s">
        <v>759</v>
      </c>
      <c r="C238" s="2">
        <v>5.70054375153E11</v>
      </c>
      <c r="D238" s="3" t="s">
        <v>751</v>
      </c>
      <c r="E238" s="3" t="s">
        <v>251</v>
      </c>
      <c r="F238" s="3" t="s">
        <v>760</v>
      </c>
      <c r="G238" s="3" t="s">
        <v>27</v>
      </c>
      <c r="H238" s="4" t="s">
        <v>738</v>
      </c>
      <c r="I238" s="3"/>
    </row>
    <row r="239" ht="15.75" customHeight="1">
      <c r="A239" s="2">
        <v>241.0</v>
      </c>
      <c r="B239" s="3" t="s">
        <v>761</v>
      </c>
      <c r="C239" s="2">
        <v>5.70054375155E11</v>
      </c>
      <c r="D239" s="3" t="s">
        <v>762</v>
      </c>
      <c r="E239" s="3" t="s">
        <v>763</v>
      </c>
      <c r="F239" s="3" t="s">
        <v>764</v>
      </c>
      <c r="G239" s="3" t="s">
        <v>402</v>
      </c>
      <c r="H239" s="4" t="s">
        <v>738</v>
      </c>
      <c r="I239" s="3"/>
    </row>
    <row r="240" ht="15.75" customHeight="1">
      <c r="A240" s="2">
        <v>242.0</v>
      </c>
      <c r="B240" s="3" t="s">
        <v>765</v>
      </c>
      <c r="C240" s="2">
        <v>5.70054375157E11</v>
      </c>
      <c r="D240" s="3" t="s">
        <v>766</v>
      </c>
      <c r="E240" s="3" t="s">
        <v>767</v>
      </c>
      <c r="F240" s="3" t="s">
        <v>768</v>
      </c>
      <c r="G240" s="3" t="s">
        <v>27</v>
      </c>
      <c r="H240" s="4" t="s">
        <v>738</v>
      </c>
      <c r="I240" s="3"/>
    </row>
    <row r="241" ht="15.75" customHeight="1">
      <c r="A241" s="2">
        <v>243.0</v>
      </c>
      <c r="B241" s="3" t="s">
        <v>769</v>
      </c>
      <c r="C241" s="2">
        <v>5.7005437516E11</v>
      </c>
      <c r="D241" s="3" t="s">
        <v>770</v>
      </c>
      <c r="E241" s="3" t="s">
        <v>771</v>
      </c>
      <c r="F241" s="3" t="s">
        <v>772</v>
      </c>
      <c r="G241" s="3" t="s">
        <v>27</v>
      </c>
      <c r="H241" s="4" t="s">
        <v>738</v>
      </c>
      <c r="I241" s="3"/>
    </row>
    <row r="242" ht="15.75" customHeight="1">
      <c r="A242" s="2">
        <v>244.0</v>
      </c>
      <c r="B242" s="3" t="s">
        <v>773</v>
      </c>
      <c r="C242" s="2">
        <v>5.70054375161E11</v>
      </c>
      <c r="D242" s="3" t="s">
        <v>770</v>
      </c>
      <c r="E242" s="3" t="s">
        <v>771</v>
      </c>
      <c r="F242" s="3" t="s">
        <v>774</v>
      </c>
      <c r="G242" s="3" t="s">
        <v>27</v>
      </c>
      <c r="H242" s="4" t="s">
        <v>738</v>
      </c>
      <c r="I242" s="3"/>
    </row>
    <row r="243" ht="15.75" customHeight="1">
      <c r="A243" s="2">
        <v>245.0</v>
      </c>
      <c r="B243" s="3"/>
      <c r="C243" s="3"/>
      <c r="D243" s="3"/>
      <c r="E243" s="3"/>
      <c r="F243" s="3"/>
      <c r="G243" s="3"/>
      <c r="H243" s="3" t="s">
        <v>775</v>
      </c>
      <c r="I243" s="3"/>
    </row>
    <row r="244" ht="15.75" customHeight="1">
      <c r="A244" s="2">
        <v>246.0</v>
      </c>
      <c r="B244" s="3" t="s">
        <v>776</v>
      </c>
      <c r="C244" s="2">
        <v>5.70054375165E11</v>
      </c>
      <c r="D244" s="3" t="s">
        <v>777</v>
      </c>
      <c r="E244" s="3" t="s">
        <v>778</v>
      </c>
      <c r="F244" s="3" t="s">
        <v>779</v>
      </c>
      <c r="G244" s="3" t="s">
        <v>27</v>
      </c>
      <c r="H244" s="4" t="s">
        <v>738</v>
      </c>
      <c r="I244" s="3"/>
    </row>
    <row r="245" ht="15.75" customHeight="1">
      <c r="A245" s="2">
        <v>247.0</v>
      </c>
      <c r="B245" s="3" t="s">
        <v>780</v>
      </c>
      <c r="C245" s="2">
        <v>5.70054375166E11</v>
      </c>
      <c r="D245" s="3" t="s">
        <v>781</v>
      </c>
      <c r="E245" s="3" t="s">
        <v>782</v>
      </c>
      <c r="F245" s="3" t="s">
        <v>64</v>
      </c>
      <c r="G245" s="3" t="s">
        <v>27</v>
      </c>
      <c r="H245" s="4" t="s">
        <v>738</v>
      </c>
      <c r="I245" s="3"/>
    </row>
    <row r="246" ht="15.75" customHeight="1">
      <c r="A246" s="2">
        <v>248.0</v>
      </c>
      <c r="B246" s="3" t="s">
        <v>783</v>
      </c>
      <c r="C246" s="2">
        <v>5.70054375169E11</v>
      </c>
      <c r="D246" s="3" t="s">
        <v>784</v>
      </c>
      <c r="E246" s="3" t="s">
        <v>785</v>
      </c>
      <c r="F246" s="3" t="s">
        <v>786</v>
      </c>
      <c r="G246" s="3" t="s">
        <v>27</v>
      </c>
      <c r="H246" s="4" t="s">
        <v>738</v>
      </c>
      <c r="I246" s="3"/>
    </row>
    <row r="247" ht="15.75" customHeight="1">
      <c r="A247" s="2">
        <v>249.0</v>
      </c>
      <c r="B247" s="3" t="s">
        <v>787</v>
      </c>
      <c r="C247" s="2">
        <v>5.70054375171E11</v>
      </c>
      <c r="D247" s="3" t="s">
        <v>762</v>
      </c>
      <c r="E247" s="3" t="s">
        <v>788</v>
      </c>
      <c r="F247" s="3" t="s">
        <v>789</v>
      </c>
      <c r="G247" s="3" t="s">
        <v>144</v>
      </c>
      <c r="H247" s="4" t="s">
        <v>738</v>
      </c>
      <c r="I247" s="3"/>
    </row>
    <row r="248" ht="15.75" customHeight="1">
      <c r="A248" s="2">
        <v>250.0</v>
      </c>
      <c r="B248" s="3" t="s">
        <v>790</v>
      </c>
      <c r="C248" s="2">
        <v>5.70054375173E11</v>
      </c>
      <c r="D248" s="3" t="s">
        <v>791</v>
      </c>
      <c r="E248" s="3" t="s">
        <v>677</v>
      </c>
      <c r="F248" s="3" t="s">
        <v>792</v>
      </c>
      <c r="G248" s="3" t="s">
        <v>27</v>
      </c>
      <c r="H248" s="4" t="s">
        <v>738</v>
      </c>
      <c r="I248" s="3"/>
    </row>
    <row r="249" ht="15.75" customHeight="1">
      <c r="A249" s="2">
        <v>251.0</v>
      </c>
      <c r="B249" s="3" t="s">
        <v>793</v>
      </c>
      <c r="C249" s="2">
        <v>5.70054375174E11</v>
      </c>
      <c r="D249" s="3" t="s">
        <v>794</v>
      </c>
      <c r="E249" s="3" t="s">
        <v>767</v>
      </c>
      <c r="F249" s="3" t="s">
        <v>213</v>
      </c>
      <c r="G249" s="3" t="s">
        <v>27</v>
      </c>
      <c r="H249" s="4" t="s">
        <v>738</v>
      </c>
      <c r="I249" s="3"/>
    </row>
    <row r="250" ht="15.75" customHeight="1">
      <c r="A250" s="2">
        <v>252.0</v>
      </c>
      <c r="B250" s="3" t="s">
        <v>795</v>
      </c>
      <c r="C250" s="2">
        <v>5.70054375175E11</v>
      </c>
      <c r="D250" s="3" t="s">
        <v>796</v>
      </c>
      <c r="E250" s="3" t="s">
        <v>244</v>
      </c>
      <c r="F250" s="3" t="s">
        <v>797</v>
      </c>
      <c r="G250" s="3" t="s">
        <v>156</v>
      </c>
      <c r="H250" s="4" t="s">
        <v>738</v>
      </c>
      <c r="I250" s="3"/>
    </row>
    <row r="251" ht="15.75" customHeight="1">
      <c r="A251" s="2">
        <v>253.0</v>
      </c>
      <c r="B251" s="3" t="s">
        <v>798</v>
      </c>
      <c r="C251" s="2">
        <v>5.7005437518E11</v>
      </c>
      <c r="D251" s="3" t="s">
        <v>799</v>
      </c>
      <c r="E251" s="3" t="s">
        <v>800</v>
      </c>
      <c r="F251" s="3" t="s">
        <v>801</v>
      </c>
      <c r="G251" s="3" t="s">
        <v>128</v>
      </c>
      <c r="H251" s="4" t="s">
        <v>738</v>
      </c>
      <c r="I251" s="3"/>
    </row>
    <row r="252" ht="15.75" customHeight="1">
      <c r="A252" s="2">
        <v>254.0</v>
      </c>
      <c r="B252" s="3" t="s">
        <v>802</v>
      </c>
      <c r="C252" s="2">
        <v>5.70054375181E11</v>
      </c>
      <c r="D252" s="3" t="s">
        <v>803</v>
      </c>
      <c r="E252" s="3" t="s">
        <v>804</v>
      </c>
      <c r="F252" s="3" t="s">
        <v>805</v>
      </c>
      <c r="G252" s="3" t="s">
        <v>20</v>
      </c>
      <c r="H252" s="4" t="s">
        <v>738</v>
      </c>
      <c r="I252" s="3"/>
    </row>
    <row r="253" ht="15.75" customHeight="1">
      <c r="A253" s="2">
        <v>255.0</v>
      </c>
      <c r="B253" s="3" t="s">
        <v>806</v>
      </c>
      <c r="C253" s="2">
        <v>5.70054375183E11</v>
      </c>
      <c r="D253" s="3" t="s">
        <v>807</v>
      </c>
      <c r="E253" s="3" t="s">
        <v>808</v>
      </c>
      <c r="F253" s="3" t="s">
        <v>448</v>
      </c>
      <c r="G253" s="3" t="s">
        <v>20</v>
      </c>
      <c r="H253" s="4" t="s">
        <v>738</v>
      </c>
      <c r="I253" s="3"/>
    </row>
    <row r="254" ht="15.75" customHeight="1">
      <c r="A254" s="2">
        <v>256.0</v>
      </c>
      <c r="B254" s="3" t="s">
        <v>669</v>
      </c>
      <c r="C254" s="2">
        <v>5.70054375187E11</v>
      </c>
      <c r="D254" s="3" t="s">
        <v>592</v>
      </c>
      <c r="E254" s="3" t="s">
        <v>593</v>
      </c>
      <c r="F254" s="3" t="s">
        <v>809</v>
      </c>
      <c r="G254" s="3" t="s">
        <v>27</v>
      </c>
      <c r="H254" s="4" t="s">
        <v>738</v>
      </c>
      <c r="I254" s="3"/>
    </row>
    <row r="255" ht="15.75" customHeight="1">
      <c r="A255" s="2">
        <v>257.0</v>
      </c>
      <c r="B255" s="3" t="s">
        <v>794</v>
      </c>
      <c r="C255" s="2">
        <v>5.7005437519E11</v>
      </c>
      <c r="D255" s="3" t="s">
        <v>810</v>
      </c>
      <c r="E255" s="3" t="s">
        <v>804</v>
      </c>
      <c r="F255" s="3" t="s">
        <v>811</v>
      </c>
      <c r="G255" s="3" t="s">
        <v>27</v>
      </c>
      <c r="H255" s="4" t="s">
        <v>738</v>
      </c>
      <c r="I255" s="3"/>
    </row>
    <row r="256" ht="15.75" customHeight="1">
      <c r="A256" s="2">
        <v>258.0</v>
      </c>
      <c r="B256" s="3" t="s">
        <v>812</v>
      </c>
      <c r="C256" s="2">
        <v>5.70054375144E11</v>
      </c>
      <c r="D256" s="3" t="s">
        <v>813</v>
      </c>
      <c r="E256" s="3" t="s">
        <v>814</v>
      </c>
      <c r="F256" s="3" t="s">
        <v>815</v>
      </c>
      <c r="G256" s="3" t="s">
        <v>27</v>
      </c>
      <c r="H256" s="4" t="s">
        <v>738</v>
      </c>
      <c r="I256" s="3"/>
    </row>
    <row r="257" ht="15.75" customHeight="1">
      <c r="A257" s="2">
        <v>259.0</v>
      </c>
      <c r="B257" s="3" t="s">
        <v>157</v>
      </c>
      <c r="C257" s="2">
        <v>5.70054375197E11</v>
      </c>
      <c r="D257" s="3" t="s">
        <v>617</v>
      </c>
      <c r="E257" s="3" t="s">
        <v>552</v>
      </c>
      <c r="F257" s="3" t="s">
        <v>816</v>
      </c>
      <c r="G257" s="3" t="s">
        <v>27</v>
      </c>
      <c r="H257" s="4" t="s">
        <v>738</v>
      </c>
      <c r="I257" s="3"/>
    </row>
    <row r="258" ht="15.75" customHeight="1">
      <c r="A258" s="2">
        <v>260.0</v>
      </c>
      <c r="B258" s="3" t="s">
        <v>817</v>
      </c>
      <c r="C258" s="2">
        <v>5.70054375198E11</v>
      </c>
      <c r="D258" s="3" t="s">
        <v>818</v>
      </c>
      <c r="E258" s="3" t="s">
        <v>182</v>
      </c>
      <c r="F258" s="3" t="s">
        <v>819</v>
      </c>
      <c r="G258" s="3" t="s">
        <v>27</v>
      </c>
      <c r="H258" s="4" t="s">
        <v>738</v>
      </c>
      <c r="I258" s="3"/>
    </row>
    <row r="259" ht="15.75" customHeight="1">
      <c r="A259" s="2">
        <v>261.0</v>
      </c>
      <c r="B259" s="3" t="s">
        <v>820</v>
      </c>
      <c r="C259" s="2">
        <v>5.70054375202E11</v>
      </c>
      <c r="D259" s="3" t="s">
        <v>490</v>
      </c>
      <c r="E259" s="3" t="s">
        <v>771</v>
      </c>
      <c r="F259" s="3" t="s">
        <v>821</v>
      </c>
      <c r="G259" s="3" t="s">
        <v>27</v>
      </c>
      <c r="H259" s="4" t="s">
        <v>738</v>
      </c>
      <c r="I259" s="3"/>
    </row>
    <row r="260" ht="15.75" customHeight="1">
      <c r="A260" s="2">
        <v>262.0</v>
      </c>
      <c r="B260" s="3" t="s">
        <v>56</v>
      </c>
      <c r="C260" s="2">
        <v>5.70054375203E11</v>
      </c>
      <c r="D260" s="3" t="s">
        <v>490</v>
      </c>
      <c r="E260" s="3" t="s">
        <v>771</v>
      </c>
      <c r="F260" s="3" t="s">
        <v>822</v>
      </c>
      <c r="G260" s="3" t="s">
        <v>27</v>
      </c>
      <c r="H260" s="4" t="s">
        <v>738</v>
      </c>
      <c r="I260" s="3"/>
    </row>
    <row r="261" ht="15.75" customHeight="1">
      <c r="A261" s="2">
        <v>263.0</v>
      </c>
      <c r="B261" s="3" t="s">
        <v>823</v>
      </c>
      <c r="C261" s="2">
        <v>5.70054375208E11</v>
      </c>
      <c r="D261" s="3" t="s">
        <v>824</v>
      </c>
      <c r="E261" s="3" t="s">
        <v>825</v>
      </c>
      <c r="F261" s="3" t="s">
        <v>826</v>
      </c>
      <c r="G261" s="3" t="s">
        <v>27</v>
      </c>
      <c r="H261" s="4" t="s">
        <v>738</v>
      </c>
      <c r="I261" s="3"/>
    </row>
    <row r="262" ht="15.75" customHeight="1">
      <c r="A262" s="2">
        <v>264.0</v>
      </c>
      <c r="B262" s="3" t="s">
        <v>827</v>
      </c>
      <c r="C262" s="2">
        <v>5.70054375213E11</v>
      </c>
      <c r="D262" s="3" t="s">
        <v>398</v>
      </c>
      <c r="E262" s="3" t="s">
        <v>828</v>
      </c>
      <c r="F262" s="3" t="s">
        <v>829</v>
      </c>
      <c r="G262" s="3" t="s">
        <v>144</v>
      </c>
      <c r="H262" s="4" t="s">
        <v>738</v>
      </c>
      <c r="I262" s="3"/>
    </row>
    <row r="263" ht="15.75" customHeight="1">
      <c r="A263" s="2">
        <v>265.0</v>
      </c>
      <c r="B263" s="3" t="s">
        <v>830</v>
      </c>
      <c r="C263" s="2">
        <v>5.70054375215E11</v>
      </c>
      <c r="D263" s="3" t="s">
        <v>831</v>
      </c>
      <c r="E263" s="3" t="s">
        <v>832</v>
      </c>
      <c r="F263" s="3" t="s">
        <v>833</v>
      </c>
      <c r="G263" s="3" t="s">
        <v>27</v>
      </c>
      <c r="H263" s="4" t="s">
        <v>738</v>
      </c>
      <c r="I263" s="3"/>
    </row>
    <row r="264" ht="15.75" customHeight="1">
      <c r="A264" s="2">
        <v>266.0</v>
      </c>
      <c r="B264" s="3" t="s">
        <v>834</v>
      </c>
      <c r="C264" s="2">
        <v>5.70054375216E11</v>
      </c>
      <c r="D264" s="3" t="s">
        <v>830</v>
      </c>
      <c r="E264" s="3" t="s">
        <v>835</v>
      </c>
      <c r="F264" s="3" t="s">
        <v>836</v>
      </c>
      <c r="G264" s="3" t="s">
        <v>27</v>
      </c>
      <c r="H264" s="4" t="s">
        <v>738</v>
      </c>
      <c r="I264" s="3"/>
    </row>
    <row r="265" ht="15.75" customHeight="1">
      <c r="A265" s="2">
        <v>267.0</v>
      </c>
      <c r="B265" s="3" t="s">
        <v>837</v>
      </c>
      <c r="C265" s="2">
        <v>5.70054375219E11</v>
      </c>
      <c r="D265" s="3" t="s">
        <v>838</v>
      </c>
      <c r="E265" s="3" t="s">
        <v>839</v>
      </c>
      <c r="F265" s="3" t="s">
        <v>840</v>
      </c>
      <c r="G265" s="3" t="s">
        <v>27</v>
      </c>
      <c r="H265" s="4" t="s">
        <v>738</v>
      </c>
      <c r="I265" s="3"/>
    </row>
    <row r="266" ht="15.75" customHeight="1">
      <c r="A266" s="2">
        <v>268.0</v>
      </c>
      <c r="B266" s="3" t="s">
        <v>398</v>
      </c>
      <c r="C266" s="2">
        <v>5.70054375221E11</v>
      </c>
      <c r="D266" s="3" t="s">
        <v>838</v>
      </c>
      <c r="E266" s="3" t="s">
        <v>839</v>
      </c>
      <c r="F266" s="3" t="s">
        <v>522</v>
      </c>
      <c r="G266" s="3" t="s">
        <v>144</v>
      </c>
      <c r="H266" s="4" t="s">
        <v>738</v>
      </c>
      <c r="I266" s="3"/>
    </row>
    <row r="267" ht="15.75" customHeight="1">
      <c r="A267" s="2">
        <v>269.0</v>
      </c>
      <c r="B267" s="3" t="s">
        <v>841</v>
      </c>
      <c r="C267" s="2">
        <v>5.70054375223E11</v>
      </c>
      <c r="D267" s="3" t="s">
        <v>838</v>
      </c>
      <c r="E267" s="3" t="s">
        <v>839</v>
      </c>
      <c r="F267" s="3" t="s">
        <v>842</v>
      </c>
      <c r="G267" s="3" t="s">
        <v>27</v>
      </c>
      <c r="H267" s="4" t="s">
        <v>738</v>
      </c>
      <c r="I267" s="3"/>
    </row>
    <row r="268" ht="15.75" customHeight="1">
      <c r="A268" s="2">
        <v>270.0</v>
      </c>
      <c r="B268" s="3" t="s">
        <v>376</v>
      </c>
      <c r="C268" s="2">
        <v>5.70054375226E11</v>
      </c>
      <c r="D268" s="3" t="s">
        <v>843</v>
      </c>
      <c r="E268" s="3" t="s">
        <v>182</v>
      </c>
      <c r="F268" s="3" t="s">
        <v>844</v>
      </c>
      <c r="G268" s="3" t="s">
        <v>27</v>
      </c>
      <c r="H268" s="4" t="s">
        <v>738</v>
      </c>
      <c r="I268" s="3"/>
    </row>
    <row r="269" ht="15.75" customHeight="1">
      <c r="A269" s="2">
        <v>271.0</v>
      </c>
      <c r="B269" s="3" t="s">
        <v>845</v>
      </c>
      <c r="C269" s="2">
        <v>5.70054375233E11</v>
      </c>
      <c r="D269" s="3" t="s">
        <v>308</v>
      </c>
      <c r="E269" s="3" t="s">
        <v>846</v>
      </c>
      <c r="F269" s="3" t="s">
        <v>847</v>
      </c>
      <c r="G269" s="3" t="s">
        <v>27</v>
      </c>
      <c r="H269" s="4" t="s">
        <v>738</v>
      </c>
      <c r="I269" s="3"/>
    </row>
    <row r="270" ht="15.75" customHeight="1">
      <c r="A270" s="2">
        <v>272.0</v>
      </c>
      <c r="B270" s="3" t="s">
        <v>35</v>
      </c>
      <c r="C270" s="2">
        <v>5.70054375235E11</v>
      </c>
      <c r="D270" s="3" t="s">
        <v>845</v>
      </c>
      <c r="E270" s="3" t="s">
        <v>848</v>
      </c>
      <c r="F270" s="3" t="s">
        <v>849</v>
      </c>
      <c r="G270" s="3" t="s">
        <v>27</v>
      </c>
      <c r="H270" s="4" t="s">
        <v>738</v>
      </c>
      <c r="I270" s="3"/>
    </row>
    <row r="271" ht="15.75" customHeight="1">
      <c r="A271" s="2">
        <v>273.0</v>
      </c>
      <c r="B271" s="3" t="s">
        <v>850</v>
      </c>
      <c r="C271" s="2">
        <v>5.70054375239E11</v>
      </c>
      <c r="D271" s="3" t="s">
        <v>851</v>
      </c>
      <c r="E271" s="3" t="s">
        <v>852</v>
      </c>
      <c r="F271" s="3" t="s">
        <v>853</v>
      </c>
      <c r="G271" s="3" t="s">
        <v>27</v>
      </c>
      <c r="H271" s="4" t="s">
        <v>738</v>
      </c>
      <c r="I271" s="3"/>
    </row>
    <row r="272" ht="15.75" customHeight="1">
      <c r="A272" s="2">
        <v>274.0</v>
      </c>
      <c r="B272" s="3" t="s">
        <v>854</v>
      </c>
      <c r="C272" s="2">
        <v>5.7005437524E11</v>
      </c>
      <c r="D272" s="3" t="s">
        <v>855</v>
      </c>
      <c r="E272" s="3" t="s">
        <v>856</v>
      </c>
      <c r="F272" s="3" t="s">
        <v>857</v>
      </c>
      <c r="G272" s="3" t="s">
        <v>27</v>
      </c>
      <c r="H272" s="4" t="s">
        <v>738</v>
      </c>
      <c r="I272" s="3"/>
    </row>
    <row r="273" ht="15.75" customHeight="1">
      <c r="A273" s="2">
        <v>275.0</v>
      </c>
      <c r="B273" s="3" t="s">
        <v>705</v>
      </c>
      <c r="C273" s="2">
        <v>5.70054375242E11</v>
      </c>
      <c r="D273" s="3" t="s">
        <v>854</v>
      </c>
      <c r="E273" s="3" t="s">
        <v>858</v>
      </c>
      <c r="F273" s="3" t="s">
        <v>859</v>
      </c>
      <c r="G273" s="3" t="s">
        <v>27</v>
      </c>
      <c r="H273" s="4" t="s">
        <v>738</v>
      </c>
      <c r="I273" s="3"/>
    </row>
    <row r="274" ht="15.75" customHeight="1">
      <c r="A274" s="2">
        <v>276.0</v>
      </c>
      <c r="B274" s="3" t="s">
        <v>860</v>
      </c>
      <c r="C274" s="2">
        <v>5.7005437525E11</v>
      </c>
      <c r="D274" s="3" t="s">
        <v>194</v>
      </c>
      <c r="E274" s="3" t="s">
        <v>464</v>
      </c>
      <c r="F274" s="3" t="s">
        <v>861</v>
      </c>
      <c r="G274" s="3" t="s">
        <v>40</v>
      </c>
      <c r="H274" s="4" t="s">
        <v>738</v>
      </c>
      <c r="I274" s="3"/>
    </row>
    <row r="275" ht="15.75" customHeight="1">
      <c r="A275" s="2">
        <v>277.0</v>
      </c>
      <c r="B275" s="3" t="s">
        <v>234</v>
      </c>
      <c r="C275" s="2">
        <v>5.70054375252E11</v>
      </c>
      <c r="D275" s="3" t="s">
        <v>862</v>
      </c>
      <c r="E275" s="3" t="s">
        <v>863</v>
      </c>
      <c r="F275" s="3" t="s">
        <v>864</v>
      </c>
      <c r="G275" s="3" t="s">
        <v>27</v>
      </c>
      <c r="H275" s="4" t="s">
        <v>738</v>
      </c>
      <c r="I275" s="3"/>
    </row>
    <row r="276" ht="15.75" customHeight="1">
      <c r="A276" s="2">
        <v>278.0</v>
      </c>
      <c r="B276" s="3" t="s">
        <v>865</v>
      </c>
      <c r="C276" s="2">
        <v>5.70054375254E11</v>
      </c>
      <c r="D276" s="3" t="s">
        <v>862</v>
      </c>
      <c r="E276" s="3" t="s">
        <v>863</v>
      </c>
      <c r="F276" s="3" t="s">
        <v>866</v>
      </c>
      <c r="G276" s="3" t="s">
        <v>27</v>
      </c>
      <c r="H276" s="4" t="s">
        <v>738</v>
      </c>
      <c r="I276" s="3"/>
    </row>
    <row r="277" ht="15.75" customHeight="1">
      <c r="A277" s="2">
        <v>279.0</v>
      </c>
      <c r="B277" s="3" t="s">
        <v>471</v>
      </c>
      <c r="C277" s="2">
        <v>5.70054375256E11</v>
      </c>
      <c r="D277" s="3" t="s">
        <v>867</v>
      </c>
      <c r="E277" s="3" t="s">
        <v>868</v>
      </c>
      <c r="F277" s="3" t="s">
        <v>869</v>
      </c>
      <c r="G277" s="3" t="s">
        <v>27</v>
      </c>
      <c r="H277" s="4" t="s">
        <v>738</v>
      </c>
      <c r="I277" s="3"/>
    </row>
    <row r="278" ht="15.75" customHeight="1">
      <c r="A278" s="2">
        <v>280.0</v>
      </c>
      <c r="B278" s="3" t="s">
        <v>870</v>
      </c>
      <c r="C278" s="2">
        <v>5.70054375259E11</v>
      </c>
      <c r="D278" s="3" t="s">
        <v>471</v>
      </c>
      <c r="E278" s="3" t="s">
        <v>472</v>
      </c>
      <c r="F278" s="3" t="s">
        <v>871</v>
      </c>
      <c r="G278" s="3" t="s">
        <v>40</v>
      </c>
      <c r="H278" s="4" t="s">
        <v>738</v>
      </c>
      <c r="I278" s="3"/>
    </row>
    <row r="279" ht="15.75" customHeight="1">
      <c r="A279" s="2">
        <v>281.0</v>
      </c>
      <c r="B279" s="3" t="s">
        <v>872</v>
      </c>
      <c r="C279" s="2">
        <v>5.70054375261E11</v>
      </c>
      <c r="D279" s="3" t="s">
        <v>512</v>
      </c>
      <c r="E279" s="3" t="s">
        <v>544</v>
      </c>
      <c r="F279" s="3" t="s">
        <v>873</v>
      </c>
      <c r="G279" s="3" t="s">
        <v>27</v>
      </c>
      <c r="H279" s="4" t="s">
        <v>738</v>
      </c>
      <c r="I279" s="3"/>
    </row>
    <row r="280" ht="15.75" customHeight="1">
      <c r="A280" s="2">
        <v>282.0</v>
      </c>
      <c r="B280" s="3" t="s">
        <v>576</v>
      </c>
      <c r="C280" s="2">
        <v>5.70054375264E11</v>
      </c>
      <c r="D280" s="3" t="s">
        <v>512</v>
      </c>
      <c r="E280" s="3" t="s">
        <v>513</v>
      </c>
      <c r="F280" s="3" t="s">
        <v>874</v>
      </c>
      <c r="G280" s="3" t="s">
        <v>40</v>
      </c>
      <c r="H280" s="4" t="s">
        <v>738</v>
      </c>
      <c r="I280" s="3"/>
    </row>
    <row r="281" ht="15.75" customHeight="1">
      <c r="A281" s="2">
        <v>283.0</v>
      </c>
      <c r="B281" s="3" t="s">
        <v>875</v>
      </c>
      <c r="C281" s="2">
        <v>5.70054375266E11</v>
      </c>
      <c r="D281" s="3" t="s">
        <v>876</v>
      </c>
      <c r="E281" s="3" t="s">
        <v>877</v>
      </c>
      <c r="F281" s="3" t="s">
        <v>878</v>
      </c>
      <c r="G281" s="3" t="s">
        <v>27</v>
      </c>
      <c r="H281" s="4" t="s">
        <v>738</v>
      </c>
      <c r="I281" s="3"/>
    </row>
    <row r="282" ht="15.75" customHeight="1">
      <c r="A282" s="2">
        <v>284.0</v>
      </c>
      <c r="B282" s="3" t="s">
        <v>279</v>
      </c>
      <c r="C282" s="2">
        <v>5.70054375268E11</v>
      </c>
      <c r="D282" s="3" t="s">
        <v>875</v>
      </c>
      <c r="E282" s="3" t="s">
        <v>879</v>
      </c>
      <c r="F282" s="3" t="s">
        <v>880</v>
      </c>
      <c r="G282" s="3" t="s">
        <v>27</v>
      </c>
      <c r="H282" s="4" t="s">
        <v>738</v>
      </c>
      <c r="I282" s="3"/>
    </row>
    <row r="283" ht="15.75" customHeight="1">
      <c r="A283" s="2">
        <v>285.0</v>
      </c>
      <c r="B283" s="3" t="s">
        <v>881</v>
      </c>
      <c r="C283" s="2">
        <v>5.70054375271E11</v>
      </c>
      <c r="D283" s="3" t="s">
        <v>882</v>
      </c>
      <c r="E283" s="3" t="s">
        <v>883</v>
      </c>
      <c r="F283" s="3" t="s">
        <v>884</v>
      </c>
      <c r="G283" s="3" t="s">
        <v>144</v>
      </c>
      <c r="H283" s="4" t="s">
        <v>738</v>
      </c>
      <c r="I283" s="3"/>
    </row>
    <row r="284" ht="15.75" customHeight="1">
      <c r="A284" s="2">
        <v>286.0</v>
      </c>
      <c r="B284" s="3" t="s">
        <v>91</v>
      </c>
      <c r="C284" s="2">
        <v>5.70054375276E11</v>
      </c>
      <c r="D284" s="3" t="s">
        <v>512</v>
      </c>
      <c r="E284" s="3" t="s">
        <v>885</v>
      </c>
      <c r="F284" s="3" t="s">
        <v>886</v>
      </c>
      <c r="G284" s="3" t="s">
        <v>27</v>
      </c>
      <c r="H284" s="4" t="s">
        <v>738</v>
      </c>
      <c r="I284" s="3"/>
    </row>
    <row r="285" ht="15.75" customHeight="1">
      <c r="A285" s="2">
        <v>287.0</v>
      </c>
      <c r="B285" s="3" t="s">
        <v>887</v>
      </c>
      <c r="C285" s="2">
        <v>5.70054375278E11</v>
      </c>
      <c r="D285" s="3" t="s">
        <v>888</v>
      </c>
      <c r="E285" s="3" t="s">
        <v>889</v>
      </c>
      <c r="F285" s="3" t="s">
        <v>890</v>
      </c>
      <c r="G285" s="3" t="s">
        <v>40</v>
      </c>
      <c r="H285" s="4" t="s">
        <v>738</v>
      </c>
      <c r="I285" s="3"/>
    </row>
    <row r="286" ht="15.75" customHeight="1">
      <c r="A286" s="2">
        <v>288.0</v>
      </c>
      <c r="B286" s="3" t="s">
        <v>891</v>
      </c>
      <c r="C286" s="2">
        <v>5.70054375281E11</v>
      </c>
      <c r="D286" s="3" t="s">
        <v>892</v>
      </c>
      <c r="E286" s="3" t="s">
        <v>893</v>
      </c>
      <c r="F286" s="3" t="s">
        <v>894</v>
      </c>
      <c r="G286" s="3" t="s">
        <v>144</v>
      </c>
      <c r="H286" s="4" t="s">
        <v>738</v>
      </c>
      <c r="I286" s="3"/>
    </row>
    <row r="287" ht="15.75" customHeight="1">
      <c r="A287" s="2">
        <v>289.0</v>
      </c>
      <c r="B287" s="3" t="s">
        <v>895</v>
      </c>
      <c r="C287" s="2">
        <v>5.70054375283E11</v>
      </c>
      <c r="D287" s="3" t="s">
        <v>896</v>
      </c>
      <c r="E287" s="3" t="s">
        <v>897</v>
      </c>
      <c r="F287" s="3" t="s">
        <v>898</v>
      </c>
      <c r="G287" s="3" t="s">
        <v>27</v>
      </c>
      <c r="H287" s="4" t="s">
        <v>738</v>
      </c>
      <c r="I287" s="3"/>
    </row>
    <row r="288" ht="15.75" customHeight="1">
      <c r="A288" s="2">
        <v>290.0</v>
      </c>
      <c r="B288" s="3" t="s">
        <v>386</v>
      </c>
      <c r="C288" s="2">
        <v>5.70054375285E11</v>
      </c>
      <c r="D288" s="3" t="s">
        <v>895</v>
      </c>
      <c r="E288" s="3" t="s">
        <v>535</v>
      </c>
      <c r="F288" s="3" t="s">
        <v>899</v>
      </c>
      <c r="G288" s="3" t="s">
        <v>644</v>
      </c>
      <c r="H288" s="4" t="s">
        <v>738</v>
      </c>
      <c r="I288" s="3"/>
    </row>
    <row r="289" ht="15.75" customHeight="1">
      <c r="A289" s="2">
        <v>291.0</v>
      </c>
      <c r="B289" s="3" t="s">
        <v>900</v>
      </c>
      <c r="C289" s="2">
        <v>5.70054375286E11</v>
      </c>
      <c r="D289" s="3" t="s">
        <v>901</v>
      </c>
      <c r="E289" s="3" t="s">
        <v>902</v>
      </c>
      <c r="F289" s="3" t="s">
        <v>903</v>
      </c>
      <c r="G289" s="3" t="s">
        <v>27</v>
      </c>
      <c r="H289" s="4" t="s">
        <v>738</v>
      </c>
      <c r="I289" s="3"/>
    </row>
    <row r="290" ht="15.75" customHeight="1">
      <c r="A290" s="2">
        <v>292.0</v>
      </c>
      <c r="B290" s="3" t="s">
        <v>148</v>
      </c>
      <c r="C290" s="2">
        <v>5.70054375288E11</v>
      </c>
      <c r="D290" s="3" t="s">
        <v>900</v>
      </c>
      <c r="E290" s="3" t="s">
        <v>904</v>
      </c>
      <c r="F290" s="3" t="s">
        <v>905</v>
      </c>
      <c r="G290" s="3" t="s">
        <v>40</v>
      </c>
      <c r="H290" s="4" t="s">
        <v>738</v>
      </c>
      <c r="I290" s="3"/>
    </row>
    <row r="291" ht="15.75" customHeight="1">
      <c r="A291" s="2">
        <v>293.0</v>
      </c>
      <c r="B291" s="3" t="s">
        <v>906</v>
      </c>
      <c r="C291" s="2">
        <v>5.70054375289E11</v>
      </c>
      <c r="D291" s="3" t="s">
        <v>900</v>
      </c>
      <c r="E291" s="3" t="s">
        <v>907</v>
      </c>
      <c r="F291" s="3" t="s">
        <v>908</v>
      </c>
      <c r="G291" s="3" t="s">
        <v>184</v>
      </c>
      <c r="H291" s="4" t="s">
        <v>738</v>
      </c>
      <c r="I291" s="3"/>
    </row>
    <row r="292" ht="15.75" customHeight="1">
      <c r="A292" s="2">
        <v>294.0</v>
      </c>
      <c r="B292" s="3" t="s">
        <v>572</v>
      </c>
      <c r="C292" s="2">
        <v>5.70054375292E11</v>
      </c>
      <c r="D292" s="3" t="s">
        <v>901</v>
      </c>
      <c r="E292" s="3" t="s">
        <v>902</v>
      </c>
      <c r="F292" s="3" t="s">
        <v>909</v>
      </c>
      <c r="G292" s="3" t="s">
        <v>40</v>
      </c>
      <c r="H292" s="4" t="s">
        <v>738</v>
      </c>
      <c r="I292" s="3"/>
    </row>
    <row r="293" ht="15.75" customHeight="1">
      <c r="A293" s="2">
        <v>295.0</v>
      </c>
      <c r="B293" s="3" t="s">
        <v>910</v>
      </c>
      <c r="C293" s="2">
        <v>5.70054375294E11</v>
      </c>
      <c r="D293" s="3" t="s">
        <v>572</v>
      </c>
      <c r="E293" s="3" t="s">
        <v>405</v>
      </c>
      <c r="F293" s="3" t="s">
        <v>911</v>
      </c>
      <c r="G293" s="3" t="s">
        <v>144</v>
      </c>
      <c r="H293" s="4" t="s">
        <v>738</v>
      </c>
      <c r="I293" s="3"/>
    </row>
    <row r="294" ht="15.75" customHeight="1">
      <c r="A294" s="2">
        <v>296.0</v>
      </c>
      <c r="B294" s="3" t="s">
        <v>234</v>
      </c>
      <c r="C294" s="2">
        <v>5.70054375296E11</v>
      </c>
      <c r="D294" s="3" t="s">
        <v>912</v>
      </c>
      <c r="E294" s="3" t="s">
        <v>416</v>
      </c>
      <c r="F294" s="3" t="s">
        <v>847</v>
      </c>
      <c r="G294" s="3" t="s">
        <v>144</v>
      </c>
      <c r="H294" s="4" t="s">
        <v>738</v>
      </c>
      <c r="I294" s="3"/>
    </row>
    <row r="295" ht="15.75" customHeight="1">
      <c r="A295" s="2">
        <v>297.0</v>
      </c>
      <c r="B295" s="3" t="s">
        <v>913</v>
      </c>
      <c r="C295" s="2">
        <v>5.70054375298E11</v>
      </c>
      <c r="D295" s="3" t="s">
        <v>914</v>
      </c>
      <c r="E295" s="3" t="s">
        <v>915</v>
      </c>
      <c r="F295" s="3" t="s">
        <v>916</v>
      </c>
      <c r="G295" s="3" t="s">
        <v>20</v>
      </c>
      <c r="H295" s="4" t="s">
        <v>738</v>
      </c>
      <c r="I295" s="3"/>
    </row>
    <row r="296" ht="15.75" customHeight="1">
      <c r="A296" s="2">
        <v>298.0</v>
      </c>
      <c r="B296" s="3" t="s">
        <v>917</v>
      </c>
      <c r="C296" s="2">
        <v>5.70054375303E11</v>
      </c>
      <c r="D296" s="3" t="s">
        <v>918</v>
      </c>
      <c r="E296" s="3" t="s">
        <v>919</v>
      </c>
      <c r="F296" s="3" t="s">
        <v>920</v>
      </c>
      <c r="G296" s="3" t="s">
        <v>27</v>
      </c>
      <c r="H296" s="4" t="s">
        <v>738</v>
      </c>
      <c r="I296" s="3"/>
    </row>
    <row r="297" ht="15.75" customHeight="1">
      <c r="A297" s="2">
        <v>299.0</v>
      </c>
      <c r="B297" s="3" t="s">
        <v>921</v>
      </c>
      <c r="C297" s="2">
        <v>5.70054375305E11</v>
      </c>
      <c r="D297" s="3" t="s">
        <v>918</v>
      </c>
      <c r="E297" s="3" t="s">
        <v>919</v>
      </c>
      <c r="F297" s="3" t="s">
        <v>922</v>
      </c>
      <c r="G297" s="3" t="s">
        <v>40</v>
      </c>
      <c r="H297" s="4" t="s">
        <v>738</v>
      </c>
      <c r="I297" s="3"/>
    </row>
    <row r="298" ht="15.75" customHeight="1">
      <c r="A298" s="2">
        <v>300.0</v>
      </c>
      <c r="B298" s="3" t="s">
        <v>837</v>
      </c>
      <c r="C298" s="2">
        <v>5.70054375309E11</v>
      </c>
      <c r="D298" s="3" t="s">
        <v>918</v>
      </c>
      <c r="E298" s="3" t="s">
        <v>919</v>
      </c>
      <c r="F298" s="3" t="s">
        <v>923</v>
      </c>
      <c r="G298" s="3" t="s">
        <v>20</v>
      </c>
      <c r="H298" s="4" t="s">
        <v>738</v>
      </c>
      <c r="I298" s="3"/>
    </row>
    <row r="299" ht="15.75" customHeight="1">
      <c r="A299" s="2">
        <v>301.0</v>
      </c>
      <c r="B299" s="3" t="s">
        <v>924</v>
      </c>
      <c r="C299" s="2">
        <v>5.70054375311E11</v>
      </c>
      <c r="D299" s="3" t="s">
        <v>918</v>
      </c>
      <c r="E299" s="3" t="s">
        <v>919</v>
      </c>
      <c r="F299" s="3" t="s">
        <v>925</v>
      </c>
      <c r="G299" s="3" t="s">
        <v>20</v>
      </c>
      <c r="H299" s="4" t="s">
        <v>738</v>
      </c>
      <c r="I299" s="3"/>
    </row>
    <row r="300" ht="15.75" customHeight="1">
      <c r="A300" s="2">
        <v>302.0</v>
      </c>
      <c r="B300" s="3" t="s">
        <v>926</v>
      </c>
      <c r="C300" s="2">
        <v>5.70054375313E11</v>
      </c>
      <c r="D300" s="3" t="s">
        <v>927</v>
      </c>
      <c r="E300" s="3" t="s">
        <v>451</v>
      </c>
      <c r="F300" s="3" t="s">
        <v>928</v>
      </c>
      <c r="G300" s="3" t="s">
        <v>20</v>
      </c>
      <c r="H300" s="4" t="s">
        <v>738</v>
      </c>
      <c r="I300" s="3"/>
    </row>
    <row r="301" ht="15.75" customHeight="1">
      <c r="A301" s="2">
        <v>303.0</v>
      </c>
      <c r="B301" s="3" t="s">
        <v>929</v>
      </c>
      <c r="C301" s="2">
        <v>5.70054375316E11</v>
      </c>
      <c r="D301" s="3" t="s">
        <v>930</v>
      </c>
      <c r="E301" s="3" t="s">
        <v>931</v>
      </c>
      <c r="F301" s="3" t="s">
        <v>932</v>
      </c>
      <c r="G301" s="3" t="s">
        <v>144</v>
      </c>
      <c r="H301" s="4" t="s">
        <v>738</v>
      </c>
      <c r="I301" s="3"/>
    </row>
    <row r="302" ht="15.75" customHeight="1">
      <c r="A302" s="2">
        <v>304.0</v>
      </c>
      <c r="B302" s="3" t="s">
        <v>933</v>
      </c>
      <c r="C302" s="2">
        <v>5.70054375321E11</v>
      </c>
      <c r="D302" s="3" t="s">
        <v>934</v>
      </c>
      <c r="E302" s="3" t="s">
        <v>935</v>
      </c>
      <c r="F302" s="3" t="s">
        <v>936</v>
      </c>
      <c r="G302" s="3" t="s">
        <v>40</v>
      </c>
      <c r="H302" s="4" t="s">
        <v>738</v>
      </c>
      <c r="I302" s="3"/>
    </row>
    <row r="303" ht="15.75" customHeight="1">
      <c r="A303" s="2">
        <v>305.0</v>
      </c>
      <c r="B303" s="3" t="s">
        <v>937</v>
      </c>
      <c r="C303" s="2">
        <v>5.70054375324E11</v>
      </c>
      <c r="D303" s="3" t="s">
        <v>938</v>
      </c>
      <c r="E303" s="3" t="s">
        <v>108</v>
      </c>
      <c r="F303" s="3" t="s">
        <v>939</v>
      </c>
      <c r="G303" s="3" t="s">
        <v>40</v>
      </c>
      <c r="H303" s="4" t="s">
        <v>738</v>
      </c>
      <c r="I303" s="3"/>
    </row>
    <row r="304" ht="15.75" customHeight="1">
      <c r="A304" s="2">
        <v>306.0</v>
      </c>
      <c r="B304" s="3" t="s">
        <v>940</v>
      </c>
      <c r="C304" s="2">
        <v>5.70054375325E11</v>
      </c>
      <c r="D304" s="3" t="s">
        <v>526</v>
      </c>
      <c r="E304" s="3" t="s">
        <v>527</v>
      </c>
      <c r="F304" s="3" t="s">
        <v>941</v>
      </c>
      <c r="G304" s="3" t="s">
        <v>27</v>
      </c>
      <c r="H304" s="4" t="s">
        <v>738</v>
      </c>
      <c r="I304" s="3"/>
    </row>
    <row r="305" ht="15.75" customHeight="1">
      <c r="A305" s="2">
        <v>307.0</v>
      </c>
      <c r="B305" s="3" t="s">
        <v>342</v>
      </c>
      <c r="C305" s="2">
        <v>5.70054375331E11</v>
      </c>
      <c r="D305" s="3" t="s">
        <v>574</v>
      </c>
      <c r="E305" s="3" t="s">
        <v>472</v>
      </c>
      <c r="F305" s="3" t="s">
        <v>942</v>
      </c>
      <c r="G305" s="3" t="s">
        <v>27</v>
      </c>
      <c r="H305" s="4" t="s">
        <v>738</v>
      </c>
      <c r="I305" s="3"/>
    </row>
    <row r="306" ht="15.75" customHeight="1">
      <c r="A306" s="2">
        <v>308.0</v>
      </c>
      <c r="B306" s="3" t="s">
        <v>943</v>
      </c>
      <c r="C306" s="2">
        <v>5.70054375332E11</v>
      </c>
      <c r="D306" s="3" t="s">
        <v>944</v>
      </c>
      <c r="E306" s="3" t="s">
        <v>464</v>
      </c>
      <c r="F306" s="3" t="s">
        <v>945</v>
      </c>
      <c r="G306" s="3" t="s">
        <v>144</v>
      </c>
      <c r="H306" s="4" t="s">
        <v>738</v>
      </c>
      <c r="I306" s="3"/>
    </row>
    <row r="307" ht="15.75" customHeight="1">
      <c r="A307" s="2">
        <v>309.0</v>
      </c>
      <c r="B307" s="3" t="s">
        <v>946</v>
      </c>
      <c r="C307" s="2">
        <v>5.70054375334E11</v>
      </c>
      <c r="D307" s="3" t="s">
        <v>947</v>
      </c>
      <c r="E307" s="3" t="s">
        <v>825</v>
      </c>
      <c r="F307" s="3" t="s">
        <v>948</v>
      </c>
      <c r="G307" s="3" t="s">
        <v>27</v>
      </c>
      <c r="H307" s="4" t="s">
        <v>738</v>
      </c>
      <c r="I307" s="3"/>
    </row>
    <row r="308" ht="15.75" customHeight="1">
      <c r="A308" s="2">
        <v>310.0</v>
      </c>
      <c r="B308" s="3" t="s">
        <v>949</v>
      </c>
      <c r="C308" s="2">
        <v>5.70054375336E11</v>
      </c>
      <c r="D308" s="3" t="s">
        <v>950</v>
      </c>
      <c r="E308" s="3" t="s">
        <v>142</v>
      </c>
      <c r="F308" s="3" t="s">
        <v>951</v>
      </c>
      <c r="G308" s="3" t="s">
        <v>27</v>
      </c>
      <c r="H308" s="4" t="s">
        <v>738</v>
      </c>
      <c r="I308" s="3"/>
    </row>
    <row r="309" ht="15.75" customHeight="1">
      <c r="A309" s="2">
        <v>311.0</v>
      </c>
      <c r="B309" s="3" t="s">
        <v>952</v>
      </c>
      <c r="C309" s="2">
        <v>5.70054375338E11</v>
      </c>
      <c r="D309" s="3" t="s">
        <v>950</v>
      </c>
      <c r="E309" s="3" t="s">
        <v>142</v>
      </c>
      <c r="F309" s="3" t="s">
        <v>953</v>
      </c>
      <c r="G309" s="3" t="s">
        <v>40</v>
      </c>
      <c r="H309" s="4" t="s">
        <v>738</v>
      </c>
      <c r="I309" s="3"/>
    </row>
    <row r="310" ht="15.75" customHeight="1">
      <c r="A310" s="2">
        <v>312.0</v>
      </c>
      <c r="B310" s="3" t="s">
        <v>954</v>
      </c>
      <c r="C310" s="2">
        <v>5.70054375341E11</v>
      </c>
      <c r="D310" s="3" t="s">
        <v>950</v>
      </c>
      <c r="E310" s="3" t="s">
        <v>142</v>
      </c>
      <c r="F310" s="3" t="s">
        <v>955</v>
      </c>
      <c r="G310" s="3" t="s">
        <v>144</v>
      </c>
      <c r="H310" s="4" t="s">
        <v>738</v>
      </c>
      <c r="I310" s="3"/>
    </row>
    <row r="311" ht="15.75" customHeight="1">
      <c r="A311" s="2">
        <v>313.0</v>
      </c>
      <c r="B311" s="3" t="s">
        <v>956</v>
      </c>
      <c r="C311" s="2">
        <v>5.70054375343E11</v>
      </c>
      <c r="D311" s="3" t="s">
        <v>957</v>
      </c>
      <c r="E311" s="3" t="s">
        <v>77</v>
      </c>
      <c r="F311" s="3" t="s">
        <v>958</v>
      </c>
      <c r="G311" s="3" t="s">
        <v>27</v>
      </c>
      <c r="H311" s="4" t="s">
        <v>738</v>
      </c>
      <c r="I311" s="3"/>
    </row>
    <row r="312" ht="15.75" customHeight="1">
      <c r="A312" s="2">
        <v>314.0</v>
      </c>
      <c r="B312" s="3" t="s">
        <v>959</v>
      </c>
      <c r="C312" s="2">
        <v>5.70054375345E11</v>
      </c>
      <c r="D312" s="3" t="s">
        <v>960</v>
      </c>
      <c r="E312" s="3" t="s">
        <v>38</v>
      </c>
      <c r="F312" s="3" t="s">
        <v>961</v>
      </c>
      <c r="G312" s="3" t="s">
        <v>27</v>
      </c>
      <c r="H312" s="4" t="s">
        <v>738</v>
      </c>
      <c r="I312" s="3"/>
    </row>
    <row r="313" ht="15.75" customHeight="1">
      <c r="A313" s="2">
        <v>315.0</v>
      </c>
      <c r="B313" s="3" t="s">
        <v>960</v>
      </c>
      <c r="C313" s="2">
        <v>5.70054375347E11</v>
      </c>
      <c r="D313" s="3" t="s">
        <v>962</v>
      </c>
      <c r="E313" s="3" t="s">
        <v>963</v>
      </c>
      <c r="F313" s="3" t="s">
        <v>964</v>
      </c>
      <c r="G313" s="3" t="s">
        <v>27</v>
      </c>
      <c r="H313" s="4" t="s">
        <v>738</v>
      </c>
      <c r="I313" s="3"/>
    </row>
    <row r="314" ht="15.75" customHeight="1">
      <c r="A314" s="2">
        <v>316.0</v>
      </c>
      <c r="B314" s="3" t="s">
        <v>965</v>
      </c>
      <c r="C314" s="2">
        <v>5.70054375349E11</v>
      </c>
      <c r="D314" s="3" t="s">
        <v>966</v>
      </c>
      <c r="E314" s="3" t="s">
        <v>967</v>
      </c>
      <c r="F314" s="3" t="s">
        <v>968</v>
      </c>
      <c r="G314" s="3" t="s">
        <v>295</v>
      </c>
      <c r="H314" s="4" t="s">
        <v>738</v>
      </c>
      <c r="I314" s="3"/>
    </row>
    <row r="315" ht="15.75" customHeight="1">
      <c r="A315" s="2">
        <v>317.0</v>
      </c>
      <c r="B315" s="3" t="s">
        <v>455</v>
      </c>
      <c r="C315" s="2">
        <v>5.70054375351E11</v>
      </c>
      <c r="D315" s="3" t="s">
        <v>969</v>
      </c>
      <c r="E315" s="3" t="s">
        <v>967</v>
      </c>
      <c r="F315" s="3" t="s">
        <v>970</v>
      </c>
      <c r="G315" s="3" t="s">
        <v>40</v>
      </c>
      <c r="H315" s="4" t="s">
        <v>738</v>
      </c>
      <c r="I315" s="3"/>
    </row>
    <row r="316" ht="15.75" customHeight="1">
      <c r="A316" s="2">
        <v>318.0</v>
      </c>
      <c r="B316" s="3" t="s">
        <v>906</v>
      </c>
      <c r="C316" s="2">
        <v>5.70054375353E11</v>
      </c>
      <c r="D316" s="3" t="s">
        <v>969</v>
      </c>
      <c r="E316" s="3" t="s">
        <v>430</v>
      </c>
      <c r="F316" s="3" t="s">
        <v>971</v>
      </c>
      <c r="G316" s="3" t="s">
        <v>40</v>
      </c>
      <c r="H316" s="4" t="s">
        <v>738</v>
      </c>
      <c r="I316" s="3"/>
    </row>
    <row r="317" ht="15.75" customHeight="1">
      <c r="A317" s="2">
        <v>319.0</v>
      </c>
      <c r="B317" s="3" t="s">
        <v>972</v>
      </c>
      <c r="C317" s="2">
        <v>5.70054375356E11</v>
      </c>
      <c r="D317" s="3" t="s">
        <v>969</v>
      </c>
      <c r="E317" s="3" t="s">
        <v>973</v>
      </c>
      <c r="F317" s="3" t="s">
        <v>974</v>
      </c>
      <c r="G317" s="3" t="s">
        <v>144</v>
      </c>
      <c r="H317" s="4" t="s">
        <v>738</v>
      </c>
      <c r="I317" s="3"/>
    </row>
    <row r="318" ht="15.75" customHeight="1">
      <c r="A318" s="2">
        <v>320.0</v>
      </c>
      <c r="B318" s="3" t="s">
        <v>91</v>
      </c>
      <c r="C318" s="2">
        <v>5.70054375358E11</v>
      </c>
      <c r="D318" s="3" t="s">
        <v>969</v>
      </c>
      <c r="E318" s="3" t="s">
        <v>430</v>
      </c>
      <c r="F318" s="3" t="s">
        <v>975</v>
      </c>
      <c r="G318" s="3" t="s">
        <v>48</v>
      </c>
      <c r="H318" s="4" t="s">
        <v>738</v>
      </c>
      <c r="I318" s="3"/>
    </row>
    <row r="319" ht="15.75" customHeight="1">
      <c r="A319" s="2">
        <v>321.0</v>
      </c>
      <c r="B319" s="3" t="s">
        <v>976</v>
      </c>
      <c r="C319" s="2">
        <v>5.70054375359E11</v>
      </c>
      <c r="D319" s="3" t="s">
        <v>977</v>
      </c>
      <c r="E319" s="3" t="s">
        <v>430</v>
      </c>
      <c r="F319" s="3" t="s">
        <v>978</v>
      </c>
      <c r="G319" s="3" t="s">
        <v>48</v>
      </c>
      <c r="H319" s="4" t="s">
        <v>738</v>
      </c>
      <c r="I319" s="3"/>
    </row>
    <row r="320" ht="15.75" customHeight="1">
      <c r="A320" s="2">
        <v>322.0</v>
      </c>
      <c r="B320" s="3" t="s">
        <v>293</v>
      </c>
      <c r="C320" s="2">
        <v>5.7005437536E11</v>
      </c>
      <c r="D320" s="3" t="s">
        <v>969</v>
      </c>
      <c r="E320" s="3" t="s">
        <v>979</v>
      </c>
      <c r="F320" s="3" t="s">
        <v>980</v>
      </c>
      <c r="G320" s="3" t="s">
        <v>40</v>
      </c>
      <c r="H320" s="4" t="s">
        <v>738</v>
      </c>
      <c r="I320" s="3"/>
    </row>
    <row r="321" ht="15.75" customHeight="1">
      <c r="A321" s="2">
        <v>323.0</v>
      </c>
      <c r="B321" s="3" t="s">
        <v>981</v>
      </c>
      <c r="C321" s="2">
        <v>5.70054375362E11</v>
      </c>
      <c r="D321" s="3" t="s">
        <v>982</v>
      </c>
      <c r="E321" s="3" t="s">
        <v>983</v>
      </c>
      <c r="F321" s="3" t="s">
        <v>984</v>
      </c>
      <c r="G321" s="3" t="s">
        <v>40</v>
      </c>
      <c r="H321" s="4" t="s">
        <v>738</v>
      </c>
      <c r="I321" s="3"/>
    </row>
    <row r="322" ht="15.75" customHeight="1">
      <c r="A322" s="2">
        <v>324.0</v>
      </c>
      <c r="B322" s="3" t="s">
        <v>985</v>
      </c>
      <c r="C322" s="2">
        <v>5.70054375364E11</v>
      </c>
      <c r="D322" s="3" t="s">
        <v>981</v>
      </c>
      <c r="E322" s="3" t="s">
        <v>986</v>
      </c>
      <c r="F322" s="3" t="s">
        <v>987</v>
      </c>
      <c r="G322" s="3" t="s">
        <v>40</v>
      </c>
      <c r="H322" s="4" t="s">
        <v>738</v>
      </c>
      <c r="I322" s="3"/>
    </row>
    <row r="323" ht="15.75" customHeight="1">
      <c r="A323" s="2">
        <v>325.0</v>
      </c>
      <c r="B323" s="3" t="s">
        <v>988</v>
      </c>
      <c r="C323" s="2">
        <v>5.70054375366E11</v>
      </c>
      <c r="D323" s="3" t="s">
        <v>981</v>
      </c>
      <c r="E323" s="3" t="s">
        <v>989</v>
      </c>
      <c r="F323" s="3" t="s">
        <v>990</v>
      </c>
      <c r="G323" s="3" t="s">
        <v>40</v>
      </c>
      <c r="H323" s="4" t="s">
        <v>738</v>
      </c>
      <c r="I323" s="3"/>
    </row>
    <row r="324" ht="15.75" customHeight="1">
      <c r="A324" s="2">
        <v>326.0</v>
      </c>
      <c r="B324" s="3" t="s">
        <v>991</v>
      </c>
      <c r="C324" s="2">
        <v>5.70054375368E11</v>
      </c>
      <c r="D324" s="3" t="s">
        <v>992</v>
      </c>
      <c r="E324" s="3" t="s">
        <v>846</v>
      </c>
      <c r="F324" s="3" t="s">
        <v>993</v>
      </c>
      <c r="G324" s="3" t="s">
        <v>40</v>
      </c>
      <c r="H324" s="4" t="s">
        <v>738</v>
      </c>
      <c r="I324" s="3"/>
    </row>
    <row r="325" ht="15.75" customHeight="1">
      <c r="A325" s="2">
        <v>327.0</v>
      </c>
      <c r="B325" s="3" t="s">
        <v>875</v>
      </c>
      <c r="C325" s="2">
        <v>5.7005437537E11</v>
      </c>
      <c r="D325" s="3" t="s">
        <v>992</v>
      </c>
      <c r="E325" s="3" t="s">
        <v>994</v>
      </c>
      <c r="F325" s="3" t="s">
        <v>995</v>
      </c>
      <c r="G325" s="3" t="s">
        <v>144</v>
      </c>
      <c r="H325" s="4" t="s">
        <v>738</v>
      </c>
      <c r="I325" s="3"/>
    </row>
    <row r="326" ht="15.75" customHeight="1">
      <c r="A326" s="2">
        <v>328.0</v>
      </c>
      <c r="B326" s="3" t="s">
        <v>996</v>
      </c>
      <c r="C326" s="2">
        <v>5.70054375373E11</v>
      </c>
      <c r="D326" s="3" t="s">
        <v>997</v>
      </c>
      <c r="E326" s="3" t="s">
        <v>998</v>
      </c>
      <c r="F326" s="3" t="s">
        <v>999</v>
      </c>
      <c r="G326" s="3" t="s">
        <v>40</v>
      </c>
      <c r="H326" s="4" t="s">
        <v>738</v>
      </c>
      <c r="I326" s="3"/>
    </row>
    <row r="327" ht="15.75" customHeight="1">
      <c r="A327" s="2">
        <v>329.0</v>
      </c>
      <c r="B327" s="3" t="s">
        <v>1000</v>
      </c>
      <c r="C327" s="2">
        <v>5.70054375375E11</v>
      </c>
      <c r="D327" s="3" t="s">
        <v>996</v>
      </c>
      <c r="E327" s="3" t="s">
        <v>142</v>
      </c>
      <c r="F327" s="3" t="s">
        <v>1001</v>
      </c>
      <c r="G327" s="3" t="s">
        <v>40</v>
      </c>
      <c r="H327" s="4" t="s">
        <v>738</v>
      </c>
      <c r="I327" s="3"/>
    </row>
    <row r="328" ht="15.75" customHeight="1">
      <c r="A328" s="2">
        <v>330.0</v>
      </c>
      <c r="B328" s="3" t="s">
        <v>1002</v>
      </c>
      <c r="C328" s="2">
        <v>5.70054375377E11</v>
      </c>
      <c r="D328" s="3" t="s">
        <v>996</v>
      </c>
      <c r="E328" s="3" t="s">
        <v>142</v>
      </c>
      <c r="F328" s="3" t="s">
        <v>1003</v>
      </c>
      <c r="G328" s="3" t="s">
        <v>27</v>
      </c>
      <c r="H328" s="4" t="s">
        <v>738</v>
      </c>
      <c r="I328" s="3"/>
    </row>
    <row r="329" ht="15.75" customHeight="1">
      <c r="A329" s="2">
        <v>331.0</v>
      </c>
      <c r="B329" s="3" t="s">
        <v>823</v>
      </c>
      <c r="C329" s="2">
        <v>5.70054375379E11</v>
      </c>
      <c r="D329" s="3" t="s">
        <v>997</v>
      </c>
      <c r="E329" s="3" t="s">
        <v>1004</v>
      </c>
      <c r="F329" s="3" t="s">
        <v>1005</v>
      </c>
      <c r="G329" s="3" t="s">
        <v>40</v>
      </c>
      <c r="H329" s="4" t="s">
        <v>738</v>
      </c>
      <c r="I329" s="3"/>
    </row>
    <row r="330" ht="15.75" customHeight="1">
      <c r="A330" s="2">
        <v>332.0</v>
      </c>
      <c r="B330" s="3" t="s">
        <v>1006</v>
      </c>
      <c r="C330" s="2">
        <v>5.70054375381E11</v>
      </c>
      <c r="D330" s="3" t="s">
        <v>823</v>
      </c>
      <c r="E330" s="3" t="s">
        <v>405</v>
      </c>
      <c r="F330" s="3" t="s">
        <v>1007</v>
      </c>
      <c r="G330" s="3" t="s">
        <v>144</v>
      </c>
      <c r="H330" s="4" t="s">
        <v>738</v>
      </c>
      <c r="I330" s="3"/>
    </row>
    <row r="331" ht="15.75" customHeight="1">
      <c r="A331" s="2">
        <v>333.0</v>
      </c>
      <c r="B331" s="3" t="s">
        <v>1008</v>
      </c>
      <c r="C331" s="2">
        <v>5.70054375383E11</v>
      </c>
      <c r="D331" s="3" t="s">
        <v>997</v>
      </c>
      <c r="E331" s="3" t="s">
        <v>1004</v>
      </c>
      <c r="F331" s="3" t="s">
        <v>1009</v>
      </c>
      <c r="G331" s="3" t="s">
        <v>40</v>
      </c>
      <c r="H331" s="4" t="s">
        <v>738</v>
      </c>
      <c r="I331" s="3"/>
    </row>
    <row r="332" ht="15.75" customHeight="1">
      <c r="A332" s="2">
        <v>334.0</v>
      </c>
      <c r="B332" s="3" t="s">
        <v>193</v>
      </c>
      <c r="C332" s="2">
        <v>5.70054375385E11</v>
      </c>
      <c r="D332" s="3" t="s">
        <v>997</v>
      </c>
      <c r="E332" s="3" t="s">
        <v>1004</v>
      </c>
      <c r="F332" s="3" t="s">
        <v>1010</v>
      </c>
      <c r="G332" s="3" t="s">
        <v>27</v>
      </c>
      <c r="H332" s="4" t="s">
        <v>738</v>
      </c>
      <c r="I332" s="3"/>
    </row>
    <row r="333" ht="15.75" customHeight="1">
      <c r="A333" s="2">
        <v>335.0</v>
      </c>
      <c r="B333" s="3" t="s">
        <v>1011</v>
      </c>
      <c r="C333" s="2">
        <v>5.70054375387E11</v>
      </c>
      <c r="D333" s="3" t="s">
        <v>997</v>
      </c>
      <c r="E333" s="3" t="s">
        <v>1004</v>
      </c>
      <c r="F333" s="3" t="s">
        <v>1012</v>
      </c>
      <c r="G333" s="3" t="s">
        <v>27</v>
      </c>
      <c r="H333" s="4" t="s">
        <v>738</v>
      </c>
      <c r="I333" s="3"/>
    </row>
    <row r="334" ht="15.75" customHeight="1">
      <c r="A334" s="2">
        <v>336.0</v>
      </c>
      <c r="B334" s="3" t="s">
        <v>356</v>
      </c>
      <c r="C334" s="2">
        <v>5.70054375389E11</v>
      </c>
      <c r="D334" s="3" t="s">
        <v>997</v>
      </c>
      <c r="E334" s="3" t="s">
        <v>1004</v>
      </c>
      <c r="F334" s="3" t="s">
        <v>1013</v>
      </c>
      <c r="G334" s="3" t="s">
        <v>40</v>
      </c>
      <c r="H334" s="4" t="s">
        <v>738</v>
      </c>
      <c r="I334" s="3"/>
    </row>
    <row r="335" ht="15.75" customHeight="1">
      <c r="A335" s="2">
        <v>337.0</v>
      </c>
      <c r="B335" s="3" t="s">
        <v>526</v>
      </c>
      <c r="C335" s="2">
        <v>5.7005437539E11</v>
      </c>
      <c r="D335" s="3" t="s">
        <v>1014</v>
      </c>
      <c r="E335" s="3" t="s">
        <v>578</v>
      </c>
      <c r="F335" s="3" t="s">
        <v>1015</v>
      </c>
      <c r="G335" s="3" t="s">
        <v>27</v>
      </c>
      <c r="H335" s="4" t="s">
        <v>738</v>
      </c>
      <c r="I335" s="3"/>
    </row>
    <row r="336" ht="15.75" customHeight="1">
      <c r="A336" s="2">
        <v>338.0</v>
      </c>
      <c r="B336" s="3" t="s">
        <v>1016</v>
      </c>
      <c r="C336" s="2">
        <v>5.70054375396E11</v>
      </c>
      <c r="D336" s="3" t="s">
        <v>526</v>
      </c>
      <c r="E336" s="3" t="s">
        <v>527</v>
      </c>
      <c r="F336" s="3" t="s">
        <v>1017</v>
      </c>
      <c r="G336" s="3" t="s">
        <v>40</v>
      </c>
      <c r="H336" s="4" t="s">
        <v>738</v>
      </c>
      <c r="I336" s="3"/>
    </row>
    <row r="337" ht="15.75" customHeight="1">
      <c r="A337" s="2">
        <v>339.0</v>
      </c>
      <c r="B337" s="3" t="s">
        <v>313</v>
      </c>
      <c r="C337" s="2">
        <v>5.70054375398E11</v>
      </c>
      <c r="D337" s="3" t="s">
        <v>1018</v>
      </c>
      <c r="E337" s="3" t="s">
        <v>527</v>
      </c>
      <c r="F337" s="3" t="s">
        <v>1019</v>
      </c>
      <c r="G337" s="3" t="s">
        <v>27</v>
      </c>
      <c r="H337" s="4" t="s">
        <v>738</v>
      </c>
      <c r="I337" s="3"/>
    </row>
    <row r="338" ht="15.75" customHeight="1">
      <c r="A338" s="2">
        <v>340.0</v>
      </c>
      <c r="B338" s="3" t="s">
        <v>1020</v>
      </c>
      <c r="C338" s="2">
        <v>5.700543754E11</v>
      </c>
      <c r="D338" s="3" t="s">
        <v>313</v>
      </c>
      <c r="E338" s="3" t="s">
        <v>423</v>
      </c>
      <c r="F338" s="3" t="s">
        <v>424</v>
      </c>
      <c r="G338" s="3" t="s">
        <v>27</v>
      </c>
      <c r="H338" s="4" t="s">
        <v>738</v>
      </c>
      <c r="I338" s="3"/>
    </row>
    <row r="339" ht="15.75" customHeight="1">
      <c r="A339" s="2">
        <v>341.0</v>
      </c>
      <c r="B339" s="3" t="s">
        <v>1021</v>
      </c>
      <c r="C339" s="2">
        <v>5.70054375402E11</v>
      </c>
      <c r="D339" s="3" t="s">
        <v>1022</v>
      </c>
      <c r="E339" s="3" t="s">
        <v>1023</v>
      </c>
      <c r="F339" s="3" t="s">
        <v>1024</v>
      </c>
      <c r="G339" s="3" t="s">
        <v>27</v>
      </c>
      <c r="H339" s="4" t="s">
        <v>738</v>
      </c>
      <c r="I339" s="3"/>
    </row>
    <row r="340" ht="15.75" customHeight="1">
      <c r="A340" s="2">
        <v>342.0</v>
      </c>
      <c r="B340" s="3" t="s">
        <v>320</v>
      </c>
      <c r="C340" s="2">
        <v>5.70054375403E11</v>
      </c>
      <c r="D340" s="3" t="s">
        <v>1025</v>
      </c>
      <c r="E340" s="3" t="s">
        <v>1026</v>
      </c>
      <c r="F340" s="3" t="s">
        <v>1027</v>
      </c>
      <c r="G340" s="3" t="s">
        <v>27</v>
      </c>
      <c r="H340" s="4" t="s">
        <v>738</v>
      </c>
      <c r="I340" s="3"/>
    </row>
    <row r="341" ht="15.75" customHeight="1">
      <c r="A341" s="2">
        <v>343.0</v>
      </c>
      <c r="B341" s="3" t="s">
        <v>1028</v>
      </c>
      <c r="C341" s="2">
        <v>5.70054375404E11</v>
      </c>
      <c r="D341" s="3" t="s">
        <v>1029</v>
      </c>
      <c r="E341" s="3" t="s">
        <v>405</v>
      </c>
      <c r="F341" s="3" t="s">
        <v>1030</v>
      </c>
      <c r="G341" s="3" t="s">
        <v>27</v>
      </c>
      <c r="H341" s="4" t="s">
        <v>738</v>
      </c>
      <c r="I341" s="3"/>
    </row>
    <row r="342" ht="15.75" customHeight="1">
      <c r="A342" s="2">
        <v>344.0</v>
      </c>
      <c r="B342" s="3" t="s">
        <v>696</v>
      </c>
      <c r="C342" s="2">
        <v>5.70054375405E11</v>
      </c>
      <c r="D342" s="3" t="s">
        <v>1031</v>
      </c>
      <c r="E342" s="3" t="s">
        <v>405</v>
      </c>
      <c r="F342" s="3" t="s">
        <v>1032</v>
      </c>
      <c r="G342" s="3" t="s">
        <v>27</v>
      </c>
      <c r="H342" s="4" t="s">
        <v>738</v>
      </c>
      <c r="I342" s="3"/>
    </row>
    <row r="343" ht="15.75" customHeight="1">
      <c r="A343" s="2">
        <v>345.0</v>
      </c>
      <c r="B343" s="3" t="s">
        <v>1033</v>
      </c>
      <c r="C343" s="2">
        <v>5.70054375407E11</v>
      </c>
      <c r="D343" s="3" t="s">
        <v>1034</v>
      </c>
      <c r="E343" s="3" t="s">
        <v>1035</v>
      </c>
      <c r="F343" s="3" t="s">
        <v>1024</v>
      </c>
      <c r="G343" s="3" t="s">
        <v>27</v>
      </c>
      <c r="H343" s="4" t="s">
        <v>738</v>
      </c>
      <c r="I343" s="3"/>
    </row>
    <row r="344" ht="15.75" customHeight="1">
      <c r="A344" s="2">
        <v>346.0</v>
      </c>
      <c r="B344" s="3" t="s">
        <v>1036</v>
      </c>
      <c r="C344" s="2">
        <v>5.70054375408E11</v>
      </c>
      <c r="D344" s="3" t="s">
        <v>1034</v>
      </c>
      <c r="E344" s="3" t="s">
        <v>1037</v>
      </c>
      <c r="F344" s="3" t="s">
        <v>1038</v>
      </c>
      <c r="G344" s="3" t="s">
        <v>27</v>
      </c>
      <c r="H344" s="4" t="s">
        <v>738</v>
      </c>
      <c r="I344" s="3"/>
    </row>
    <row r="345" ht="15.75" customHeight="1">
      <c r="A345" s="2">
        <v>347.0</v>
      </c>
      <c r="B345" s="3" t="s">
        <v>1039</v>
      </c>
      <c r="C345" s="2">
        <v>5.70054375409E11</v>
      </c>
      <c r="D345" s="3" t="s">
        <v>1040</v>
      </c>
      <c r="E345" s="3" t="s">
        <v>354</v>
      </c>
      <c r="F345" s="3" t="s">
        <v>19</v>
      </c>
      <c r="G345" s="3" t="s">
        <v>27</v>
      </c>
      <c r="H345" s="4" t="s">
        <v>738</v>
      </c>
      <c r="I345" s="3"/>
    </row>
    <row r="346" ht="15.75" customHeight="1">
      <c r="A346" s="2">
        <v>348.0</v>
      </c>
      <c r="B346" s="3" t="s">
        <v>1041</v>
      </c>
      <c r="C346" s="2">
        <v>5.7005437541E11</v>
      </c>
      <c r="D346" s="3" t="s">
        <v>1042</v>
      </c>
      <c r="E346" s="3" t="s">
        <v>96</v>
      </c>
      <c r="F346" s="3" t="s">
        <v>1043</v>
      </c>
      <c r="G346" s="3" t="s">
        <v>27</v>
      </c>
      <c r="H346" s="4" t="s">
        <v>738</v>
      </c>
      <c r="I346" s="3"/>
    </row>
    <row r="347" ht="15.75" customHeight="1">
      <c r="A347" s="2">
        <v>349.0</v>
      </c>
      <c r="B347" s="3" t="s">
        <v>1044</v>
      </c>
      <c r="C347" s="2">
        <v>5.70054375411E11</v>
      </c>
      <c r="D347" s="3" t="s">
        <v>79</v>
      </c>
      <c r="E347" s="3" t="s">
        <v>1045</v>
      </c>
      <c r="F347" s="3" t="s">
        <v>1046</v>
      </c>
      <c r="G347" s="3" t="s">
        <v>27</v>
      </c>
      <c r="H347" s="4" t="s">
        <v>738</v>
      </c>
      <c r="I347" s="3"/>
    </row>
    <row r="348" ht="15.75" customHeight="1">
      <c r="A348" s="2">
        <v>350.0</v>
      </c>
      <c r="B348" s="3" t="s">
        <v>1047</v>
      </c>
      <c r="C348" s="2">
        <v>5.70054375412E11</v>
      </c>
      <c r="D348" s="3" t="s">
        <v>1044</v>
      </c>
      <c r="E348" s="3" t="s">
        <v>1048</v>
      </c>
      <c r="F348" s="3" t="s">
        <v>1049</v>
      </c>
      <c r="G348" s="3" t="s">
        <v>27</v>
      </c>
      <c r="H348" s="4" t="s">
        <v>738</v>
      </c>
      <c r="I348" s="3"/>
    </row>
    <row r="349" ht="15.75" customHeight="1">
      <c r="A349" s="2">
        <v>351.0</v>
      </c>
      <c r="B349" s="3" t="s">
        <v>1050</v>
      </c>
      <c r="C349" s="2">
        <v>5.70054375414E11</v>
      </c>
      <c r="D349" s="3" t="s">
        <v>370</v>
      </c>
      <c r="E349" s="3" t="s">
        <v>1051</v>
      </c>
      <c r="F349" s="3" t="s">
        <v>1052</v>
      </c>
      <c r="G349" s="3" t="s">
        <v>27</v>
      </c>
      <c r="H349" s="4" t="s">
        <v>738</v>
      </c>
      <c r="I349" s="3"/>
    </row>
    <row r="350" ht="15.75" customHeight="1">
      <c r="A350" s="2">
        <v>352.0</v>
      </c>
      <c r="B350" s="3" t="s">
        <v>1053</v>
      </c>
      <c r="C350" s="2">
        <v>5.70054375416E11</v>
      </c>
      <c r="D350" s="3" t="s">
        <v>1054</v>
      </c>
      <c r="E350" s="3" t="s">
        <v>1055</v>
      </c>
      <c r="F350" s="3" t="s">
        <v>81</v>
      </c>
      <c r="G350" s="3" t="s">
        <v>27</v>
      </c>
      <c r="H350" s="4" t="s">
        <v>738</v>
      </c>
      <c r="I350" s="3"/>
    </row>
    <row r="351" ht="15.75" customHeight="1">
      <c r="A351" s="2">
        <v>353.0</v>
      </c>
      <c r="B351" s="3" t="s">
        <v>1056</v>
      </c>
      <c r="C351" s="2">
        <v>5.70054375418E11</v>
      </c>
      <c r="D351" s="3" t="s">
        <v>1057</v>
      </c>
      <c r="E351" s="3" t="s">
        <v>1058</v>
      </c>
      <c r="F351" s="3" t="s">
        <v>1059</v>
      </c>
      <c r="G351" s="3" t="s">
        <v>27</v>
      </c>
      <c r="H351" s="4" t="s">
        <v>738</v>
      </c>
      <c r="I351" s="3"/>
    </row>
    <row r="352" ht="15.75" customHeight="1">
      <c r="A352" s="2">
        <v>354.0</v>
      </c>
      <c r="B352" s="3" t="s">
        <v>65</v>
      </c>
      <c r="C352" s="2">
        <v>5.7005437542E11</v>
      </c>
      <c r="D352" s="3" t="s">
        <v>70</v>
      </c>
      <c r="E352" s="3" t="s">
        <v>630</v>
      </c>
      <c r="F352" s="3" t="s">
        <v>1060</v>
      </c>
      <c r="G352" s="3" t="s">
        <v>40</v>
      </c>
      <c r="H352" s="4" t="s">
        <v>738</v>
      </c>
      <c r="I352" s="3"/>
    </row>
    <row r="353" ht="15.75" customHeight="1">
      <c r="A353" s="2">
        <v>355.0</v>
      </c>
      <c r="B353" s="3" t="s">
        <v>1061</v>
      </c>
      <c r="C353" s="2">
        <v>5.70054375423E11</v>
      </c>
      <c r="D353" s="3" t="s">
        <v>1062</v>
      </c>
      <c r="E353" s="3" t="s">
        <v>1063</v>
      </c>
      <c r="F353" s="3" t="s">
        <v>1064</v>
      </c>
      <c r="G353" s="3" t="s">
        <v>40</v>
      </c>
      <c r="H353" s="4" t="s">
        <v>738</v>
      </c>
      <c r="I353" s="3"/>
    </row>
    <row r="354" ht="15.75" customHeight="1">
      <c r="A354" s="2">
        <v>356.0</v>
      </c>
      <c r="B354" s="3" t="s">
        <v>1065</v>
      </c>
      <c r="C354" s="2">
        <v>5.70054375425E11</v>
      </c>
      <c r="D354" s="3" t="s">
        <v>818</v>
      </c>
      <c r="E354" s="3" t="s">
        <v>1066</v>
      </c>
      <c r="F354" s="3" t="s">
        <v>1067</v>
      </c>
      <c r="G354" s="3" t="s">
        <v>27</v>
      </c>
      <c r="H354" s="4" t="s">
        <v>738</v>
      </c>
      <c r="I354" s="3"/>
    </row>
    <row r="355" ht="15.75" customHeight="1">
      <c r="A355" s="2">
        <v>357.0</v>
      </c>
      <c r="B355" s="3" t="s">
        <v>1068</v>
      </c>
      <c r="C355" s="2">
        <v>5.70054375427E11</v>
      </c>
      <c r="D355" s="3" t="s">
        <v>204</v>
      </c>
      <c r="E355" s="3" t="s">
        <v>1069</v>
      </c>
      <c r="F355" s="3" t="s">
        <v>1070</v>
      </c>
      <c r="G355" s="3" t="s">
        <v>27</v>
      </c>
      <c r="H355" s="4" t="s">
        <v>738</v>
      </c>
      <c r="I355" s="3"/>
    </row>
    <row r="356" ht="15.75" customHeight="1">
      <c r="A356" s="2">
        <v>358.0</v>
      </c>
      <c r="B356" s="3" t="s">
        <v>1071</v>
      </c>
      <c r="C356" s="2">
        <v>5.70054000014E11</v>
      </c>
      <c r="D356" s="3" t="s">
        <v>1072</v>
      </c>
      <c r="E356" s="3" t="s">
        <v>1073</v>
      </c>
      <c r="F356" s="3" t="s">
        <v>1074</v>
      </c>
      <c r="G356" s="3" t="s">
        <v>27</v>
      </c>
      <c r="H356" s="4" t="s">
        <v>738</v>
      </c>
      <c r="I356" s="3"/>
    </row>
    <row r="357" ht="15.75" customHeight="1">
      <c r="A357" s="2">
        <v>359.0</v>
      </c>
      <c r="B357" s="3" t="s">
        <v>1075</v>
      </c>
      <c r="C357" s="2">
        <v>5.70054000015E11</v>
      </c>
      <c r="D357" s="3" t="s">
        <v>1076</v>
      </c>
      <c r="E357" s="3" t="s">
        <v>1077</v>
      </c>
      <c r="F357" s="3" t="s">
        <v>542</v>
      </c>
      <c r="G357" s="3" t="s">
        <v>40</v>
      </c>
      <c r="H357" s="4" t="s">
        <v>738</v>
      </c>
      <c r="I357" s="3"/>
    </row>
    <row r="358" ht="15.75" customHeight="1">
      <c r="A358" s="2">
        <v>360.0</v>
      </c>
      <c r="B358" s="3" t="s">
        <v>185</v>
      </c>
      <c r="C358" s="2">
        <v>5.70054000016E11</v>
      </c>
      <c r="D358" s="3" t="s">
        <v>1078</v>
      </c>
      <c r="E358" s="3" t="s">
        <v>1079</v>
      </c>
      <c r="F358" s="3" t="s">
        <v>1080</v>
      </c>
      <c r="G358" s="3" t="s">
        <v>27</v>
      </c>
      <c r="H358" s="4" t="s">
        <v>738</v>
      </c>
      <c r="I358" s="3"/>
    </row>
    <row r="359" ht="15.75" customHeight="1">
      <c r="A359" s="2">
        <v>361.0</v>
      </c>
      <c r="B359" s="3" t="s">
        <v>1081</v>
      </c>
      <c r="C359" s="2">
        <v>5.70054000017E11</v>
      </c>
      <c r="D359" s="3" t="s">
        <v>930</v>
      </c>
      <c r="E359" s="3" t="s">
        <v>1082</v>
      </c>
      <c r="F359" s="3" t="s">
        <v>1083</v>
      </c>
      <c r="G359" s="3" t="s">
        <v>144</v>
      </c>
      <c r="H359" s="4" t="s">
        <v>738</v>
      </c>
      <c r="I359" s="3"/>
    </row>
    <row r="360" ht="15.75" customHeight="1">
      <c r="A360" s="2">
        <v>362.0</v>
      </c>
      <c r="B360" s="3" t="s">
        <v>1084</v>
      </c>
      <c r="C360" s="2">
        <v>5.70054000021E11</v>
      </c>
      <c r="D360" s="3" t="s">
        <v>149</v>
      </c>
      <c r="E360" s="3" t="s">
        <v>1085</v>
      </c>
      <c r="F360" s="3" t="s">
        <v>1086</v>
      </c>
      <c r="G360" s="3" t="s">
        <v>27</v>
      </c>
      <c r="H360" s="4" t="s">
        <v>738</v>
      </c>
      <c r="I360" s="3"/>
    </row>
    <row r="361" ht="15.75" customHeight="1">
      <c r="A361" s="2">
        <v>363.0</v>
      </c>
      <c r="B361" s="3" t="s">
        <v>344</v>
      </c>
      <c r="C361" s="2">
        <v>5.70054000022E11</v>
      </c>
      <c r="D361" s="3" t="s">
        <v>1087</v>
      </c>
      <c r="E361" s="3" t="s">
        <v>1048</v>
      </c>
      <c r="F361" s="3" t="s">
        <v>1088</v>
      </c>
      <c r="G361" s="3" t="s">
        <v>20</v>
      </c>
      <c r="H361" s="4" t="s">
        <v>738</v>
      </c>
      <c r="I361" s="3"/>
    </row>
    <row r="362" ht="15.75" customHeight="1">
      <c r="A362" s="2">
        <v>364.0</v>
      </c>
      <c r="B362" s="3" t="s">
        <v>1089</v>
      </c>
      <c r="C362" s="2">
        <v>5.70054000024E11</v>
      </c>
      <c r="D362" s="3" t="s">
        <v>1090</v>
      </c>
      <c r="E362" s="3" t="s">
        <v>1091</v>
      </c>
      <c r="F362" s="3" t="s">
        <v>1092</v>
      </c>
      <c r="G362" s="3" t="s">
        <v>27</v>
      </c>
      <c r="H362" s="4" t="s">
        <v>738</v>
      </c>
      <c r="I362" s="3"/>
    </row>
    <row r="363" ht="15.75" customHeight="1">
      <c r="A363" s="2">
        <v>365.0</v>
      </c>
      <c r="B363" s="3" t="s">
        <v>443</v>
      </c>
      <c r="C363" s="2">
        <v>5.70054000025E11</v>
      </c>
      <c r="D363" s="3" t="s">
        <v>1093</v>
      </c>
      <c r="E363" s="3" t="s">
        <v>565</v>
      </c>
      <c r="F363" s="3" t="s">
        <v>1094</v>
      </c>
      <c r="G363" s="3" t="s">
        <v>27</v>
      </c>
      <c r="H363" s="4" t="s">
        <v>738</v>
      </c>
      <c r="I363" s="3"/>
    </row>
    <row r="364" ht="15.75" customHeight="1">
      <c r="A364" s="2">
        <v>366.0</v>
      </c>
      <c r="B364" s="3" t="s">
        <v>1095</v>
      </c>
      <c r="C364" s="2">
        <v>5.70054000026E11</v>
      </c>
      <c r="D364" s="3" t="s">
        <v>837</v>
      </c>
      <c r="E364" s="3" t="s">
        <v>441</v>
      </c>
      <c r="F364" s="3" t="s">
        <v>1096</v>
      </c>
      <c r="G364" s="3" t="s">
        <v>156</v>
      </c>
      <c r="H364" s="4" t="s">
        <v>738</v>
      </c>
      <c r="I364" s="3"/>
    </row>
    <row r="365" ht="15.75" customHeight="1">
      <c r="A365" s="2">
        <v>367.0</v>
      </c>
      <c r="B365" s="3" t="s">
        <v>1097</v>
      </c>
      <c r="C365" s="2">
        <v>5.70054000028E11</v>
      </c>
      <c r="D365" s="3" t="s">
        <v>1098</v>
      </c>
      <c r="E365" s="3" t="s">
        <v>430</v>
      </c>
      <c r="F365" s="3" t="s">
        <v>1099</v>
      </c>
      <c r="G365" s="3" t="s">
        <v>48</v>
      </c>
      <c r="H365" s="4" t="s">
        <v>738</v>
      </c>
      <c r="I365" s="3"/>
    </row>
    <row r="366" ht="15.75" customHeight="1">
      <c r="A366" s="2">
        <v>368.0</v>
      </c>
      <c r="B366" s="3" t="s">
        <v>1100</v>
      </c>
      <c r="C366" s="2">
        <v>5.70054000029E11</v>
      </c>
      <c r="D366" s="3" t="s">
        <v>1101</v>
      </c>
      <c r="E366" s="3" t="s">
        <v>1102</v>
      </c>
      <c r="F366" s="3" t="s">
        <v>1103</v>
      </c>
      <c r="G366" s="3" t="s">
        <v>48</v>
      </c>
      <c r="H366" s="4" t="s">
        <v>738</v>
      </c>
      <c r="I366" s="3"/>
    </row>
    <row r="367" ht="15.75" customHeight="1">
      <c r="A367" s="2">
        <v>369.0</v>
      </c>
      <c r="B367" s="3" t="s">
        <v>362</v>
      </c>
      <c r="C367" s="2">
        <v>5.7005400003E11</v>
      </c>
      <c r="D367" s="3" t="s">
        <v>1104</v>
      </c>
      <c r="E367" s="3" t="s">
        <v>569</v>
      </c>
      <c r="F367" s="3" t="s">
        <v>1099</v>
      </c>
      <c r="G367" s="3" t="s">
        <v>156</v>
      </c>
      <c r="H367" s="4" t="s">
        <v>738</v>
      </c>
      <c r="I367" s="3"/>
    </row>
    <row r="368" ht="15.75" customHeight="1">
      <c r="A368" s="2">
        <v>370.0</v>
      </c>
      <c r="B368" s="3" t="s">
        <v>45</v>
      </c>
      <c r="C368" s="2">
        <v>5.70054000032E11</v>
      </c>
      <c r="D368" s="3" t="s">
        <v>1105</v>
      </c>
      <c r="E368" s="3" t="s">
        <v>1106</v>
      </c>
      <c r="F368" s="3" t="s">
        <v>1107</v>
      </c>
      <c r="G368" s="3" t="s">
        <v>27</v>
      </c>
      <c r="H368" s="4" t="s">
        <v>738</v>
      </c>
      <c r="I368" s="3"/>
    </row>
    <row r="369" ht="15.75" customHeight="1">
      <c r="A369" s="2">
        <v>371.0</v>
      </c>
      <c r="B369" s="3" t="s">
        <v>1108</v>
      </c>
      <c r="C369" s="2">
        <v>5.70054000034E11</v>
      </c>
      <c r="D369" s="3" t="s">
        <v>363</v>
      </c>
      <c r="E369" s="3" t="s">
        <v>364</v>
      </c>
      <c r="F369" s="3" t="s">
        <v>1109</v>
      </c>
      <c r="G369" s="3" t="s">
        <v>40</v>
      </c>
      <c r="H369" s="4" t="s">
        <v>738</v>
      </c>
      <c r="I369" s="3"/>
    </row>
    <row r="370" ht="15.75" customHeight="1">
      <c r="A370" s="2">
        <v>372.0</v>
      </c>
      <c r="B370" s="3" t="s">
        <v>1110</v>
      </c>
      <c r="C370" s="2">
        <v>5.70054000035E11</v>
      </c>
      <c r="D370" s="3" t="s">
        <v>1111</v>
      </c>
      <c r="E370" s="3" t="s">
        <v>1112</v>
      </c>
      <c r="F370" s="3" t="s">
        <v>1113</v>
      </c>
      <c r="G370" s="3" t="s">
        <v>27</v>
      </c>
      <c r="H370" s="4" t="s">
        <v>738</v>
      </c>
      <c r="I370" s="3"/>
    </row>
    <row r="371" ht="15.75" customHeight="1">
      <c r="A371" s="2">
        <v>373.0</v>
      </c>
      <c r="B371" s="3" t="s">
        <v>1114</v>
      </c>
      <c r="C371" s="2">
        <v>5.70054000036E11</v>
      </c>
      <c r="D371" s="3" t="s">
        <v>376</v>
      </c>
      <c r="E371" s="3" t="s">
        <v>1115</v>
      </c>
      <c r="F371" s="3" t="s">
        <v>1116</v>
      </c>
      <c r="G371" s="3" t="s">
        <v>27</v>
      </c>
      <c r="H371" s="4" t="s">
        <v>738</v>
      </c>
      <c r="I371" s="3"/>
    </row>
    <row r="372" ht="15.75" customHeight="1">
      <c r="A372" s="2">
        <v>374.0</v>
      </c>
      <c r="B372" s="3" t="s">
        <v>1117</v>
      </c>
      <c r="C372" s="2">
        <v>5.70054000039E11</v>
      </c>
      <c r="D372" s="3" t="s">
        <v>1118</v>
      </c>
      <c r="E372" s="3" t="s">
        <v>330</v>
      </c>
      <c r="F372" s="3" t="s">
        <v>1119</v>
      </c>
      <c r="G372" s="3" t="s">
        <v>20</v>
      </c>
      <c r="H372" s="4" t="s">
        <v>738</v>
      </c>
      <c r="I372" s="3"/>
    </row>
    <row r="373" ht="15.75" customHeight="1">
      <c r="A373" s="2">
        <v>375.0</v>
      </c>
      <c r="B373" s="3" t="s">
        <v>1120</v>
      </c>
      <c r="C373" s="2">
        <v>5.7005400004E11</v>
      </c>
      <c r="D373" s="3" t="s">
        <v>950</v>
      </c>
      <c r="E373" s="3" t="s">
        <v>142</v>
      </c>
      <c r="F373" s="3" t="s">
        <v>1121</v>
      </c>
      <c r="G373" s="3" t="s">
        <v>27</v>
      </c>
      <c r="H373" s="4" t="s">
        <v>738</v>
      </c>
      <c r="I373" s="3"/>
    </row>
    <row r="374" ht="15.75" customHeight="1">
      <c r="A374" s="2">
        <v>376.0</v>
      </c>
      <c r="B374" s="3" t="s">
        <v>1122</v>
      </c>
      <c r="C374" s="2">
        <v>5.70054375486E11</v>
      </c>
      <c r="D374" s="3" t="s">
        <v>1123</v>
      </c>
      <c r="E374" s="3" t="s">
        <v>1124</v>
      </c>
      <c r="F374" s="3" t="s">
        <v>1125</v>
      </c>
      <c r="G374" s="3" t="s">
        <v>27</v>
      </c>
      <c r="H374" s="4" t="s">
        <v>738</v>
      </c>
      <c r="I374" s="3"/>
    </row>
    <row r="375" ht="15.75" customHeight="1">
      <c r="A375" s="2">
        <v>377.0</v>
      </c>
      <c r="B375" s="3"/>
      <c r="C375" s="3"/>
      <c r="D375" s="3"/>
      <c r="E375" s="3"/>
      <c r="F375" s="3"/>
      <c r="G375" s="3"/>
      <c r="H375" s="3" t="s">
        <v>775</v>
      </c>
      <c r="I375" s="3"/>
    </row>
    <row r="376" ht="15.75" customHeight="1">
      <c r="A376" s="2">
        <v>378.0</v>
      </c>
      <c r="B376" s="3" t="s">
        <v>1126</v>
      </c>
      <c r="C376" s="2">
        <v>5.70054375471E11</v>
      </c>
      <c r="D376" s="3" t="s">
        <v>61</v>
      </c>
      <c r="E376" s="3" t="s">
        <v>1127</v>
      </c>
      <c r="F376" s="3" t="s">
        <v>1128</v>
      </c>
      <c r="G376" s="3" t="s">
        <v>27</v>
      </c>
      <c r="H376" s="4" t="s">
        <v>738</v>
      </c>
      <c r="I376" s="3"/>
    </row>
    <row r="377" ht="15.75" customHeight="1">
      <c r="A377" s="2">
        <v>379.0</v>
      </c>
      <c r="B377" s="3" t="s">
        <v>1129</v>
      </c>
      <c r="C377" s="2">
        <v>5.70054375473E11</v>
      </c>
      <c r="D377" s="3" t="s">
        <v>1130</v>
      </c>
      <c r="E377" s="3" t="s">
        <v>1131</v>
      </c>
      <c r="F377" s="3" t="s">
        <v>1132</v>
      </c>
      <c r="G377" s="3" t="s">
        <v>40</v>
      </c>
      <c r="H377" s="4" t="s">
        <v>738</v>
      </c>
      <c r="I377" s="3"/>
    </row>
    <row r="378" ht="15.75" customHeight="1">
      <c r="A378" s="2">
        <v>380.0</v>
      </c>
      <c r="B378" s="3" t="s">
        <v>1133</v>
      </c>
      <c r="C378" s="2">
        <v>5.70054375475E11</v>
      </c>
      <c r="D378" s="3" t="s">
        <v>1134</v>
      </c>
      <c r="E378" s="3" t="s">
        <v>1135</v>
      </c>
      <c r="F378" s="3" t="s">
        <v>1136</v>
      </c>
      <c r="G378" s="3" t="s">
        <v>27</v>
      </c>
      <c r="H378" s="4" t="s">
        <v>738</v>
      </c>
      <c r="I378" s="3"/>
    </row>
    <row r="379" ht="15.75" customHeight="1">
      <c r="A379" s="2">
        <v>381.0</v>
      </c>
      <c r="B379" s="3" t="s">
        <v>837</v>
      </c>
      <c r="C379" s="2">
        <v>5.70054375478E11</v>
      </c>
      <c r="D379" s="3" t="s">
        <v>1137</v>
      </c>
      <c r="E379" s="3" t="s">
        <v>1037</v>
      </c>
      <c r="F379" s="3" t="s">
        <v>1138</v>
      </c>
      <c r="G379" s="3" t="s">
        <v>27</v>
      </c>
      <c r="H379" s="4" t="s">
        <v>738</v>
      </c>
      <c r="I379" s="3"/>
    </row>
    <row r="380" ht="15.75" customHeight="1">
      <c r="A380" s="2">
        <v>382.0</v>
      </c>
      <c r="B380" s="3" t="s">
        <v>1139</v>
      </c>
      <c r="C380" s="2">
        <v>5.70054375479E11</v>
      </c>
      <c r="D380" s="3" t="s">
        <v>1140</v>
      </c>
      <c r="E380" s="3" t="s">
        <v>1141</v>
      </c>
      <c r="F380" s="3" t="s">
        <v>1142</v>
      </c>
      <c r="G380" s="3" t="s">
        <v>27</v>
      </c>
      <c r="H380" s="4" t="s">
        <v>738</v>
      </c>
      <c r="I380" s="3"/>
    </row>
    <row r="381" ht="15.75" customHeight="1">
      <c r="A381" s="2">
        <v>383.0</v>
      </c>
      <c r="B381" s="3" t="s">
        <v>234</v>
      </c>
      <c r="C381" s="2">
        <v>5.7005437548E11</v>
      </c>
      <c r="D381" s="3" t="s">
        <v>1143</v>
      </c>
      <c r="E381" s="3" t="s">
        <v>1144</v>
      </c>
      <c r="F381" s="3" t="s">
        <v>1145</v>
      </c>
      <c r="G381" s="3" t="s">
        <v>27</v>
      </c>
      <c r="H381" s="4" t="s">
        <v>738</v>
      </c>
      <c r="I381" s="3"/>
    </row>
    <row r="382" ht="15.75" customHeight="1">
      <c r="A382" s="2">
        <v>384.0</v>
      </c>
      <c r="B382" s="3" t="s">
        <v>1146</v>
      </c>
      <c r="C382" s="2">
        <v>5.70054375481E11</v>
      </c>
      <c r="D382" s="3" t="s">
        <v>1147</v>
      </c>
      <c r="E382" s="3" t="s">
        <v>1148</v>
      </c>
      <c r="F382" s="3" t="s">
        <v>1149</v>
      </c>
      <c r="G382" s="3" t="s">
        <v>40</v>
      </c>
      <c r="H382" s="4" t="s">
        <v>738</v>
      </c>
      <c r="I382" s="3"/>
    </row>
    <row r="383" ht="15.75" customHeight="1">
      <c r="A383" s="2">
        <v>385.0</v>
      </c>
      <c r="B383" s="3" t="s">
        <v>1150</v>
      </c>
      <c r="C383" s="2">
        <v>5.70054375485E11</v>
      </c>
      <c r="D383" s="3" t="s">
        <v>70</v>
      </c>
      <c r="E383" s="3" t="s">
        <v>71</v>
      </c>
      <c r="F383" s="3" t="s">
        <v>1151</v>
      </c>
      <c r="G383" s="3" t="s">
        <v>40</v>
      </c>
      <c r="H383" s="4" t="s">
        <v>738</v>
      </c>
      <c r="I383" s="3"/>
    </row>
    <row r="384" ht="15.75" customHeight="1">
      <c r="A384" s="2">
        <v>386.0</v>
      </c>
      <c r="B384" s="3" t="s">
        <v>1152</v>
      </c>
      <c r="C384" s="2">
        <v>5.70054375486E11</v>
      </c>
      <c r="D384" s="3" t="s">
        <v>1050</v>
      </c>
      <c r="E384" s="3" t="s">
        <v>1153</v>
      </c>
      <c r="F384" s="3" t="s">
        <v>1154</v>
      </c>
      <c r="G384" s="3" t="s">
        <v>27</v>
      </c>
      <c r="H384" s="4" t="s">
        <v>738</v>
      </c>
      <c r="I384" s="3"/>
    </row>
    <row r="385" ht="15.75" customHeight="1">
      <c r="A385" s="2">
        <v>387.0</v>
      </c>
      <c r="B385" s="3" t="s">
        <v>1155</v>
      </c>
      <c r="C385" s="2">
        <v>5.7005437549E11</v>
      </c>
      <c r="D385" s="3" t="s">
        <v>234</v>
      </c>
      <c r="E385" s="3" t="s">
        <v>1156</v>
      </c>
      <c r="F385" s="3" t="s">
        <v>210</v>
      </c>
      <c r="G385" s="3" t="s">
        <v>40</v>
      </c>
      <c r="H385" s="4" t="s">
        <v>738</v>
      </c>
      <c r="I385" s="3"/>
    </row>
    <row r="386" ht="15.75" customHeight="1">
      <c r="A386" s="2">
        <v>388.0</v>
      </c>
      <c r="B386" s="3" t="s">
        <v>363</v>
      </c>
      <c r="C386" s="2">
        <v>5.70054375491E11</v>
      </c>
      <c r="D386" s="3" t="s">
        <v>333</v>
      </c>
      <c r="E386" s="3" t="s">
        <v>334</v>
      </c>
      <c r="F386" s="3" t="s">
        <v>1157</v>
      </c>
      <c r="G386" s="3" t="s">
        <v>40</v>
      </c>
      <c r="H386" s="4" t="s">
        <v>738</v>
      </c>
      <c r="I386" s="3"/>
    </row>
    <row r="387" ht="15.75" customHeight="1">
      <c r="A387" s="2">
        <v>389.0</v>
      </c>
      <c r="B387" s="3" t="s">
        <v>1158</v>
      </c>
      <c r="C387" s="2">
        <v>5.70054375492E11</v>
      </c>
      <c r="D387" s="3" t="s">
        <v>1159</v>
      </c>
      <c r="E387" s="3" t="s">
        <v>804</v>
      </c>
      <c r="F387" s="3" t="s">
        <v>1160</v>
      </c>
      <c r="G387" s="3" t="s">
        <v>48</v>
      </c>
      <c r="H387" s="4" t="s">
        <v>738</v>
      </c>
      <c r="I387" s="3"/>
    </row>
    <row r="388" ht="15.75" customHeight="1">
      <c r="A388" s="2">
        <v>390.0</v>
      </c>
      <c r="B388" s="3" t="s">
        <v>381</v>
      </c>
      <c r="C388" s="2">
        <v>5.70054375493E11</v>
      </c>
      <c r="D388" s="3" t="s">
        <v>279</v>
      </c>
      <c r="E388" s="3" t="s">
        <v>1161</v>
      </c>
      <c r="F388" s="3" t="s">
        <v>1162</v>
      </c>
      <c r="G388" s="3" t="s">
        <v>20</v>
      </c>
      <c r="H388" s="4" t="s">
        <v>738</v>
      </c>
      <c r="I388" s="3"/>
    </row>
    <row r="389" ht="15.75" customHeight="1">
      <c r="A389" s="2">
        <v>391.0</v>
      </c>
      <c r="B389" s="3" t="s">
        <v>913</v>
      </c>
      <c r="C389" s="2">
        <v>5.70054375494E11</v>
      </c>
      <c r="D389" s="3" t="s">
        <v>204</v>
      </c>
      <c r="E389" s="3" t="s">
        <v>18</v>
      </c>
      <c r="F389" s="3" t="s">
        <v>1163</v>
      </c>
      <c r="G389" s="3" t="s">
        <v>20</v>
      </c>
      <c r="H389" s="4" t="s">
        <v>738</v>
      </c>
      <c r="I389" s="3"/>
    </row>
    <row r="390" ht="15.75" customHeight="1">
      <c r="A390" s="2">
        <v>392.0</v>
      </c>
      <c r="B390" s="3" t="s">
        <v>342</v>
      </c>
      <c r="C390" s="2">
        <v>5.70054375498E11</v>
      </c>
      <c r="D390" s="3" t="s">
        <v>1164</v>
      </c>
      <c r="E390" s="3" t="s">
        <v>1165</v>
      </c>
      <c r="F390" s="3" t="s">
        <v>1166</v>
      </c>
      <c r="G390" s="3" t="s">
        <v>40</v>
      </c>
      <c r="H390" s="4" t="s">
        <v>738</v>
      </c>
      <c r="I390" s="3"/>
    </row>
    <row r="391" ht="15.75" customHeight="1">
      <c r="A391" s="2">
        <v>393.0</v>
      </c>
      <c r="B391" s="3" t="s">
        <v>1167</v>
      </c>
      <c r="C391" s="2">
        <v>5.700543755E11</v>
      </c>
      <c r="D391" s="3" t="s">
        <v>1168</v>
      </c>
      <c r="E391" s="3" t="s">
        <v>354</v>
      </c>
      <c r="F391" s="3" t="s">
        <v>1169</v>
      </c>
      <c r="G391" s="3" t="s">
        <v>27</v>
      </c>
      <c r="H391" s="4" t="s">
        <v>738</v>
      </c>
      <c r="I391" s="3"/>
    </row>
    <row r="392" ht="15.75" customHeight="1">
      <c r="A392" s="2">
        <v>394.0</v>
      </c>
      <c r="B392" s="3" t="s">
        <v>1071</v>
      </c>
      <c r="C392" s="2">
        <v>5.7005437543E11</v>
      </c>
      <c r="D392" s="3" t="s">
        <v>1170</v>
      </c>
      <c r="E392" s="3" t="s">
        <v>1171</v>
      </c>
      <c r="F392" s="3" t="s">
        <v>1172</v>
      </c>
      <c r="G392" s="3" t="s">
        <v>27</v>
      </c>
      <c r="H392" s="4" t="s">
        <v>738</v>
      </c>
      <c r="I392" s="3"/>
    </row>
    <row r="393" ht="15.75" customHeight="1">
      <c r="A393" s="2">
        <v>395.0</v>
      </c>
      <c r="B393" s="3" t="s">
        <v>1173</v>
      </c>
      <c r="C393" s="2">
        <v>5.70054375431E11</v>
      </c>
      <c r="D393" s="3" t="s">
        <v>1170</v>
      </c>
      <c r="E393" s="3" t="s">
        <v>1174</v>
      </c>
      <c r="F393" s="3" t="s">
        <v>1175</v>
      </c>
      <c r="G393" s="3" t="s">
        <v>40</v>
      </c>
      <c r="H393" s="4" t="s">
        <v>738</v>
      </c>
      <c r="I393" s="3"/>
    </row>
    <row r="394" ht="15.75" customHeight="1">
      <c r="A394" s="2">
        <v>396.0</v>
      </c>
      <c r="B394" s="3" t="s">
        <v>293</v>
      </c>
      <c r="C394" s="2">
        <v>5.70054375432E11</v>
      </c>
      <c r="D394" s="3" t="s">
        <v>1176</v>
      </c>
      <c r="E394" s="3" t="s">
        <v>1174</v>
      </c>
      <c r="F394" s="3" t="s">
        <v>210</v>
      </c>
      <c r="G394" s="3" t="s">
        <v>27</v>
      </c>
      <c r="H394" s="4" t="s">
        <v>738</v>
      </c>
      <c r="I394" s="3"/>
    </row>
    <row r="395" ht="15.75" customHeight="1">
      <c r="A395" s="2">
        <v>397.0</v>
      </c>
      <c r="B395" s="3" t="s">
        <v>1177</v>
      </c>
      <c r="C395" s="2">
        <v>5.70054375433E11</v>
      </c>
      <c r="D395" s="3" t="s">
        <v>1170</v>
      </c>
      <c r="E395" s="3" t="s">
        <v>1174</v>
      </c>
      <c r="F395" s="3" t="s">
        <v>1178</v>
      </c>
      <c r="G395" s="3" t="s">
        <v>40</v>
      </c>
      <c r="H395" s="4" t="s">
        <v>738</v>
      </c>
      <c r="I395" s="3"/>
    </row>
    <row r="396" ht="15.75" customHeight="1">
      <c r="A396" s="2">
        <v>398.0</v>
      </c>
      <c r="B396" s="3" t="s">
        <v>1179</v>
      </c>
      <c r="C396" s="2">
        <v>5.70054375434E11</v>
      </c>
      <c r="D396" s="3" t="s">
        <v>1062</v>
      </c>
      <c r="E396" s="3" t="s">
        <v>30</v>
      </c>
      <c r="F396" s="3" t="s">
        <v>1180</v>
      </c>
      <c r="G396" s="3" t="s">
        <v>27</v>
      </c>
      <c r="H396" s="4" t="s">
        <v>738</v>
      </c>
      <c r="I396" s="3"/>
    </row>
    <row r="397" ht="15.75" customHeight="1">
      <c r="A397" s="2">
        <v>399.0</v>
      </c>
      <c r="B397" s="3" t="s">
        <v>1181</v>
      </c>
      <c r="C397" s="2">
        <v>5.70054375436E11</v>
      </c>
      <c r="D397" s="3" t="s">
        <v>1182</v>
      </c>
      <c r="E397" s="3" t="s">
        <v>1183</v>
      </c>
      <c r="F397" s="3" t="s">
        <v>1184</v>
      </c>
      <c r="G397" s="3" t="s">
        <v>27</v>
      </c>
      <c r="H397" s="4" t="s">
        <v>738</v>
      </c>
      <c r="I397" s="3"/>
    </row>
    <row r="398" ht="15.75" customHeight="1">
      <c r="A398" s="2">
        <v>400.0</v>
      </c>
      <c r="B398" s="3" t="s">
        <v>913</v>
      </c>
      <c r="C398" s="2">
        <v>5.70054375437E11</v>
      </c>
      <c r="D398" s="3" t="s">
        <v>1185</v>
      </c>
      <c r="E398" s="3" t="s">
        <v>1045</v>
      </c>
      <c r="F398" s="3" t="s">
        <v>74</v>
      </c>
      <c r="G398" s="3" t="s">
        <v>27</v>
      </c>
      <c r="H398" s="4" t="s">
        <v>738</v>
      </c>
      <c r="I398" s="3"/>
    </row>
    <row r="399" ht="15.75" customHeight="1">
      <c r="A399" s="2">
        <v>401.0</v>
      </c>
      <c r="B399" s="3"/>
      <c r="C399" s="3"/>
      <c r="D399" s="3"/>
      <c r="E399" s="3"/>
      <c r="F399" s="3"/>
      <c r="G399" s="3"/>
      <c r="H399" s="3" t="s">
        <v>775</v>
      </c>
      <c r="I399" s="3"/>
    </row>
    <row r="400" ht="15.75" customHeight="1">
      <c r="A400" s="2">
        <v>402.0</v>
      </c>
      <c r="B400" s="3" t="s">
        <v>130</v>
      </c>
      <c r="C400" s="2">
        <v>5.70054375439E11</v>
      </c>
      <c r="D400" s="3" t="s">
        <v>1185</v>
      </c>
      <c r="E400" s="3" t="s">
        <v>1045</v>
      </c>
      <c r="F400" s="3" t="s">
        <v>1163</v>
      </c>
      <c r="G400" s="3" t="s">
        <v>27</v>
      </c>
      <c r="H400" s="4" t="s">
        <v>738</v>
      </c>
      <c r="I400" s="3"/>
    </row>
    <row r="401" ht="15.75" customHeight="1">
      <c r="A401" s="2">
        <v>403.0</v>
      </c>
      <c r="B401" s="3" t="s">
        <v>231</v>
      </c>
      <c r="C401" s="2">
        <v>5.70054375441E11</v>
      </c>
      <c r="D401" s="3" t="s">
        <v>1186</v>
      </c>
      <c r="E401" s="3" t="s">
        <v>1187</v>
      </c>
      <c r="F401" s="3" t="s">
        <v>1188</v>
      </c>
      <c r="G401" s="3" t="s">
        <v>27</v>
      </c>
      <c r="H401" s="4" t="s">
        <v>738</v>
      </c>
      <c r="I401" s="3"/>
    </row>
    <row r="402" ht="15.75" customHeight="1">
      <c r="A402" s="2">
        <v>404.0</v>
      </c>
      <c r="B402" s="3" t="s">
        <v>1189</v>
      </c>
      <c r="C402" s="2">
        <v>5.70054375442E11</v>
      </c>
      <c r="D402" s="3" t="s">
        <v>1186</v>
      </c>
      <c r="E402" s="3" t="s">
        <v>1187</v>
      </c>
      <c r="F402" s="3" t="s">
        <v>1190</v>
      </c>
      <c r="G402" s="3" t="s">
        <v>27</v>
      </c>
      <c r="H402" s="4" t="s">
        <v>738</v>
      </c>
      <c r="I402" s="3"/>
    </row>
    <row r="403" ht="15.75" customHeight="1">
      <c r="A403" s="2">
        <v>405.0</v>
      </c>
      <c r="B403" s="3" t="s">
        <v>1191</v>
      </c>
      <c r="C403" s="2">
        <v>5.70054375446E11</v>
      </c>
      <c r="D403" s="3" t="s">
        <v>1186</v>
      </c>
      <c r="E403" s="3" t="s">
        <v>1187</v>
      </c>
      <c r="F403" s="3" t="s">
        <v>1192</v>
      </c>
      <c r="G403" s="3" t="s">
        <v>27</v>
      </c>
      <c r="H403" s="4" t="s">
        <v>738</v>
      </c>
      <c r="I403" s="3"/>
    </row>
    <row r="404" ht="15.75" customHeight="1">
      <c r="A404" s="2">
        <v>406.0</v>
      </c>
      <c r="B404" s="3" t="s">
        <v>91</v>
      </c>
      <c r="C404" s="2">
        <v>5.70054375448E11</v>
      </c>
      <c r="D404" s="3" t="s">
        <v>1193</v>
      </c>
      <c r="E404" s="3" t="s">
        <v>1194</v>
      </c>
      <c r="F404" s="3" t="s">
        <v>1195</v>
      </c>
      <c r="G404" s="3" t="s">
        <v>27</v>
      </c>
      <c r="H404" s="4" t="s">
        <v>738</v>
      </c>
      <c r="I404" s="3"/>
    </row>
    <row r="405" ht="15.75" customHeight="1">
      <c r="A405" s="2">
        <v>407.0</v>
      </c>
      <c r="B405" s="3" t="s">
        <v>1196</v>
      </c>
      <c r="C405" s="2">
        <v>5.7005437545E11</v>
      </c>
      <c r="D405" s="3" t="s">
        <v>1193</v>
      </c>
      <c r="E405" s="3" t="s">
        <v>1197</v>
      </c>
      <c r="F405" s="3" t="s">
        <v>1198</v>
      </c>
      <c r="G405" s="3" t="s">
        <v>27</v>
      </c>
      <c r="H405" s="4" t="s">
        <v>738</v>
      </c>
      <c r="I405" s="3"/>
    </row>
    <row r="406" ht="15.75" customHeight="1">
      <c r="A406" s="2">
        <v>408.0</v>
      </c>
      <c r="B406" s="3" t="s">
        <v>1199</v>
      </c>
      <c r="C406" s="2">
        <v>5.70054375454E11</v>
      </c>
      <c r="D406" s="3" t="s">
        <v>1123</v>
      </c>
      <c r="E406" s="3" t="s">
        <v>1124</v>
      </c>
      <c r="F406" s="3" t="s">
        <v>1200</v>
      </c>
      <c r="G406" s="3" t="s">
        <v>27</v>
      </c>
      <c r="H406" s="4" t="s">
        <v>738</v>
      </c>
      <c r="I406" s="3"/>
    </row>
    <row r="407" ht="15.75" customHeight="1">
      <c r="A407" s="2">
        <v>409.0</v>
      </c>
      <c r="B407" s="3" t="s">
        <v>1201</v>
      </c>
      <c r="C407" s="2">
        <v>5.70054375456E11</v>
      </c>
      <c r="D407" s="3" t="s">
        <v>1193</v>
      </c>
      <c r="E407" s="3" t="s">
        <v>1202</v>
      </c>
      <c r="F407" s="3" t="s">
        <v>1203</v>
      </c>
      <c r="G407" s="3" t="s">
        <v>20</v>
      </c>
      <c r="H407" s="4" t="s">
        <v>738</v>
      </c>
      <c r="I407" s="3"/>
    </row>
    <row r="408" ht="15.75" customHeight="1">
      <c r="A408" s="2">
        <v>410.0</v>
      </c>
      <c r="B408" s="3" t="s">
        <v>1204</v>
      </c>
      <c r="C408" s="2">
        <v>5.70054375459E11</v>
      </c>
      <c r="D408" s="3" t="s">
        <v>1205</v>
      </c>
      <c r="E408" s="3" t="s">
        <v>1206</v>
      </c>
      <c r="F408" s="3" t="s">
        <v>119</v>
      </c>
      <c r="G408" s="3" t="s">
        <v>27</v>
      </c>
      <c r="H408" s="4" t="s">
        <v>738</v>
      </c>
      <c r="I408" s="3"/>
    </row>
    <row r="409" ht="15.75" customHeight="1">
      <c r="A409" s="2">
        <v>411.0</v>
      </c>
      <c r="B409" s="3" t="s">
        <v>1207</v>
      </c>
      <c r="C409" s="2">
        <v>5.70054375463E11</v>
      </c>
      <c r="D409" s="3" t="s">
        <v>1208</v>
      </c>
      <c r="E409" s="3" t="s">
        <v>1209</v>
      </c>
      <c r="F409" s="3" t="s">
        <v>1083</v>
      </c>
      <c r="G409" s="3" t="s">
        <v>27</v>
      </c>
      <c r="H409" s="4" t="s">
        <v>738</v>
      </c>
      <c r="I409" s="3"/>
    </row>
    <row r="410" ht="15.75" customHeight="1">
      <c r="A410" s="2">
        <v>412.0</v>
      </c>
      <c r="B410" s="3" t="s">
        <v>1210</v>
      </c>
      <c r="C410" s="2">
        <v>5.70054000041E11</v>
      </c>
      <c r="D410" s="3" t="s">
        <v>1211</v>
      </c>
      <c r="E410" s="3" t="s">
        <v>1212</v>
      </c>
      <c r="F410" s="3" t="s">
        <v>1213</v>
      </c>
      <c r="G410" s="3" t="s">
        <v>27</v>
      </c>
      <c r="H410" s="4" t="s">
        <v>738</v>
      </c>
      <c r="I410" s="3"/>
    </row>
    <row r="411" ht="15.75" customHeight="1">
      <c r="A411" s="2">
        <v>413.0</v>
      </c>
      <c r="B411" s="3" t="s">
        <v>1214</v>
      </c>
      <c r="C411" s="2">
        <v>5.70054000042E11</v>
      </c>
      <c r="D411" s="3" t="s">
        <v>1215</v>
      </c>
      <c r="E411" s="3" t="s">
        <v>1216</v>
      </c>
      <c r="F411" s="3" t="s">
        <v>1217</v>
      </c>
      <c r="G411" s="3" t="s">
        <v>27</v>
      </c>
      <c r="H411" s="4" t="s">
        <v>738</v>
      </c>
      <c r="I411" s="3"/>
    </row>
    <row r="412" ht="15.75" customHeight="1">
      <c r="A412" s="2">
        <v>414.0</v>
      </c>
      <c r="B412" s="3" t="s">
        <v>1218</v>
      </c>
      <c r="C412" s="2">
        <v>5.70054000043E11</v>
      </c>
      <c r="D412" s="3" t="s">
        <v>91</v>
      </c>
      <c r="E412" s="3" t="s">
        <v>441</v>
      </c>
      <c r="F412" s="3" t="s">
        <v>1219</v>
      </c>
      <c r="G412" s="3" t="s">
        <v>27</v>
      </c>
      <c r="H412" s="4" t="s">
        <v>738</v>
      </c>
      <c r="I412" s="3"/>
    </row>
    <row r="413" ht="15.75" customHeight="1">
      <c r="A413" s="2">
        <v>415.0</v>
      </c>
      <c r="B413" s="3" t="s">
        <v>1120</v>
      </c>
      <c r="C413" s="2">
        <v>5.70054000045E11</v>
      </c>
      <c r="D413" s="3" t="s">
        <v>300</v>
      </c>
      <c r="E413" s="3" t="s">
        <v>83</v>
      </c>
      <c r="F413" s="3" t="s">
        <v>1220</v>
      </c>
      <c r="G413" s="3" t="s">
        <v>40</v>
      </c>
      <c r="H413" s="4" t="s">
        <v>738</v>
      </c>
      <c r="I413" s="3"/>
    </row>
    <row r="414" ht="15.75" customHeight="1">
      <c r="A414" s="2">
        <v>416.0</v>
      </c>
      <c r="B414" s="3" t="s">
        <v>1221</v>
      </c>
      <c r="C414" s="2">
        <v>5.70054000046E11</v>
      </c>
      <c r="D414" s="3" t="s">
        <v>356</v>
      </c>
      <c r="E414" s="3" t="s">
        <v>569</v>
      </c>
      <c r="F414" s="3" t="s">
        <v>1222</v>
      </c>
      <c r="G414" s="3" t="s">
        <v>156</v>
      </c>
      <c r="H414" s="4" t="s">
        <v>738</v>
      </c>
      <c r="I414" s="3"/>
    </row>
    <row r="415" ht="15.75" customHeight="1">
      <c r="A415" s="2">
        <v>417.0</v>
      </c>
      <c r="B415" s="3" t="s">
        <v>1223</v>
      </c>
      <c r="C415" s="2">
        <v>5.7005400005E11</v>
      </c>
      <c r="D415" s="3" t="s">
        <v>1224</v>
      </c>
      <c r="E415" s="3" t="s">
        <v>1216</v>
      </c>
      <c r="F415" s="3" t="s">
        <v>1219</v>
      </c>
      <c r="G415" s="3" t="s">
        <v>27</v>
      </c>
      <c r="H415" s="4" t="s">
        <v>738</v>
      </c>
      <c r="I415" s="3"/>
    </row>
    <row r="416" ht="15.75" customHeight="1">
      <c r="A416" s="2">
        <v>418.0</v>
      </c>
      <c r="B416" s="3" t="s">
        <v>1225</v>
      </c>
      <c r="C416" s="2">
        <v>5.70054000057E11</v>
      </c>
      <c r="D416" s="3" t="s">
        <v>1226</v>
      </c>
      <c r="E416" s="3" t="s">
        <v>1227</v>
      </c>
      <c r="F416" s="3" t="s">
        <v>1228</v>
      </c>
      <c r="G416" s="3" t="s">
        <v>20</v>
      </c>
      <c r="H416" s="4" t="s">
        <v>738</v>
      </c>
      <c r="I416" s="3"/>
    </row>
    <row r="417" ht="15.75" customHeight="1">
      <c r="A417" s="2">
        <v>419.0</v>
      </c>
      <c r="B417" s="3" t="s">
        <v>1229</v>
      </c>
      <c r="C417" s="2">
        <v>5.70054000058E11</v>
      </c>
      <c r="D417" s="3" t="s">
        <v>546</v>
      </c>
      <c r="E417" s="3" t="s">
        <v>1230</v>
      </c>
      <c r="F417" s="3" t="s">
        <v>545</v>
      </c>
      <c r="G417" s="3" t="s">
        <v>27</v>
      </c>
      <c r="H417" s="4" t="s">
        <v>738</v>
      </c>
      <c r="I417" s="3"/>
    </row>
    <row r="418" ht="15.75" customHeight="1">
      <c r="A418" s="2">
        <v>420.0</v>
      </c>
      <c r="B418" s="3" t="s">
        <v>1231</v>
      </c>
      <c r="C418" s="2">
        <v>5.7005400006E11</v>
      </c>
      <c r="D418" s="3" t="s">
        <v>320</v>
      </c>
      <c r="E418" s="3" t="s">
        <v>441</v>
      </c>
      <c r="F418" s="3" t="s">
        <v>1232</v>
      </c>
      <c r="G418" s="3" t="s">
        <v>27</v>
      </c>
      <c r="H418" s="4" t="s">
        <v>738</v>
      </c>
      <c r="I418" s="3"/>
    </row>
    <row r="419" ht="15.75" customHeight="1">
      <c r="A419" s="2">
        <v>421.0</v>
      </c>
      <c r="B419" s="3" t="s">
        <v>1233</v>
      </c>
      <c r="C419" s="2">
        <v>5.70054000061E11</v>
      </c>
      <c r="D419" s="3" t="s">
        <v>1234</v>
      </c>
      <c r="E419" s="3" t="s">
        <v>159</v>
      </c>
      <c r="F419" s="3" t="s">
        <v>1235</v>
      </c>
      <c r="G419" s="3" t="s">
        <v>27</v>
      </c>
      <c r="H419" s="4" t="s">
        <v>738</v>
      </c>
      <c r="I419" s="3"/>
    </row>
    <row r="420" ht="15.75" customHeight="1">
      <c r="A420" s="2">
        <v>422.0</v>
      </c>
      <c r="B420" s="3" t="s">
        <v>1236</v>
      </c>
      <c r="C420" s="2">
        <v>5.70054000064E11</v>
      </c>
      <c r="D420" s="3" t="s">
        <v>823</v>
      </c>
      <c r="E420" s="3" t="s">
        <v>1237</v>
      </c>
      <c r="F420" s="3" t="s">
        <v>1238</v>
      </c>
      <c r="G420" s="3" t="s">
        <v>27</v>
      </c>
      <c r="H420" s="4" t="s">
        <v>738</v>
      </c>
      <c r="I420" s="3"/>
    </row>
    <row r="421" ht="15.75" customHeight="1">
      <c r="A421" s="2">
        <v>423.0</v>
      </c>
      <c r="B421" s="3" t="s">
        <v>1239</v>
      </c>
      <c r="C421" s="2">
        <v>5.70054000065E11</v>
      </c>
      <c r="D421" s="3" t="s">
        <v>427</v>
      </c>
      <c r="E421" s="3" t="s">
        <v>1240</v>
      </c>
      <c r="F421" s="3" t="s">
        <v>1241</v>
      </c>
      <c r="G421" s="3" t="s">
        <v>27</v>
      </c>
      <c r="H421" s="4" t="s">
        <v>738</v>
      </c>
      <c r="I421" s="3"/>
    </row>
    <row r="422" ht="15.75" customHeight="1">
      <c r="A422" s="2">
        <v>424.0</v>
      </c>
      <c r="B422" s="3" t="s">
        <v>1242</v>
      </c>
      <c r="C422" s="2">
        <v>5.7005400007E11</v>
      </c>
      <c r="D422" s="3" t="s">
        <v>16</v>
      </c>
      <c r="E422" s="3" t="s">
        <v>1243</v>
      </c>
      <c r="F422" s="3" t="s">
        <v>1244</v>
      </c>
      <c r="G422" s="3" t="s">
        <v>20</v>
      </c>
      <c r="H422" s="4" t="s">
        <v>738</v>
      </c>
      <c r="I422" s="3"/>
    </row>
    <row r="423" ht="15.75" customHeight="1">
      <c r="A423" s="2">
        <v>425.0</v>
      </c>
      <c r="B423" s="3" t="s">
        <v>1245</v>
      </c>
      <c r="C423" s="2">
        <v>5.70054000073E11</v>
      </c>
      <c r="D423" s="3" t="s">
        <v>381</v>
      </c>
      <c r="E423" s="3" t="s">
        <v>142</v>
      </c>
      <c r="F423" s="3" t="s">
        <v>1246</v>
      </c>
      <c r="G423" s="3" t="s">
        <v>144</v>
      </c>
      <c r="H423" s="4" t="s">
        <v>738</v>
      </c>
      <c r="I423" s="3"/>
    </row>
    <row r="424" ht="15.75" customHeight="1">
      <c r="A424" s="2">
        <v>426.0</v>
      </c>
      <c r="B424" s="3" t="s">
        <v>1247</v>
      </c>
      <c r="C424" s="2">
        <v>5.70054000082E11</v>
      </c>
      <c r="D424" s="3" t="s">
        <v>996</v>
      </c>
      <c r="E424" s="3" t="s">
        <v>703</v>
      </c>
      <c r="F424" s="3" t="s">
        <v>1248</v>
      </c>
      <c r="G424" s="3" t="s">
        <v>27</v>
      </c>
      <c r="H424" s="4" t="s">
        <v>738</v>
      </c>
      <c r="I424" s="3"/>
    </row>
    <row r="425" ht="15.75" customHeight="1">
      <c r="A425" s="2">
        <v>427.0</v>
      </c>
      <c r="B425" s="3" t="s">
        <v>427</v>
      </c>
      <c r="C425" s="2">
        <v>5.70054000083E11</v>
      </c>
      <c r="D425" s="3" t="s">
        <v>1249</v>
      </c>
      <c r="E425" s="3" t="s">
        <v>323</v>
      </c>
      <c r="F425" s="3" t="s">
        <v>1250</v>
      </c>
      <c r="G425" s="3" t="s">
        <v>295</v>
      </c>
      <c r="H425" s="4" t="s">
        <v>738</v>
      </c>
      <c r="I425" s="3"/>
    </row>
    <row r="426" ht="15.75" customHeight="1">
      <c r="A426" s="2">
        <v>428.0</v>
      </c>
      <c r="B426" s="3" t="s">
        <v>1251</v>
      </c>
      <c r="C426" s="2">
        <v>5.70054000084E11</v>
      </c>
      <c r="D426" s="3" t="s">
        <v>854</v>
      </c>
      <c r="E426" s="3" t="s">
        <v>858</v>
      </c>
      <c r="F426" s="3" t="s">
        <v>1252</v>
      </c>
      <c r="G426" s="3" t="s">
        <v>27</v>
      </c>
      <c r="H426" s="4" t="s">
        <v>738</v>
      </c>
      <c r="I426" s="3"/>
    </row>
    <row r="427" ht="15.75" customHeight="1">
      <c r="A427" s="2">
        <v>429.0</v>
      </c>
      <c r="B427" s="3" t="s">
        <v>1253</v>
      </c>
      <c r="C427" s="2">
        <v>5.70054000085E11</v>
      </c>
      <c r="D427" s="3" t="s">
        <v>817</v>
      </c>
      <c r="E427" s="3" t="s">
        <v>1254</v>
      </c>
      <c r="F427" s="3" t="s">
        <v>1255</v>
      </c>
      <c r="G427" s="3" t="s">
        <v>27</v>
      </c>
      <c r="H427" s="4" t="s">
        <v>738</v>
      </c>
      <c r="I427" s="3"/>
    </row>
    <row r="428" ht="15.75" customHeight="1">
      <c r="A428" s="2">
        <v>430.0</v>
      </c>
      <c r="B428" s="3" t="s">
        <v>1256</v>
      </c>
      <c r="C428" s="2">
        <v>5.70054000086E11</v>
      </c>
      <c r="D428" s="3" t="s">
        <v>1257</v>
      </c>
      <c r="E428" s="3" t="s">
        <v>931</v>
      </c>
      <c r="F428" s="3" t="s">
        <v>1258</v>
      </c>
      <c r="G428" s="3" t="s">
        <v>156</v>
      </c>
      <c r="H428" s="4" t="s">
        <v>738</v>
      </c>
      <c r="I428" s="3"/>
    </row>
    <row r="429" ht="15.75" customHeight="1">
      <c r="A429" s="2">
        <v>431.0</v>
      </c>
      <c r="B429" s="3" t="s">
        <v>1259</v>
      </c>
      <c r="C429" s="2">
        <v>5.70054000087E11</v>
      </c>
      <c r="D429" s="3" t="s">
        <v>718</v>
      </c>
      <c r="E429" s="3" t="s">
        <v>1260</v>
      </c>
      <c r="F429" s="3" t="s">
        <v>1261</v>
      </c>
      <c r="G429" s="3" t="s">
        <v>40</v>
      </c>
      <c r="H429" s="4" t="s">
        <v>738</v>
      </c>
      <c r="I429" s="3"/>
    </row>
    <row r="430" ht="15.75" customHeight="1">
      <c r="A430" s="2">
        <v>432.0</v>
      </c>
      <c r="B430" s="3" t="s">
        <v>1262</v>
      </c>
      <c r="C430" s="2">
        <v>5.70054000088E11</v>
      </c>
      <c r="D430" s="3" t="s">
        <v>1263</v>
      </c>
      <c r="E430" s="3" t="s">
        <v>405</v>
      </c>
      <c r="F430" s="3" t="s">
        <v>1264</v>
      </c>
      <c r="G430" s="3" t="s">
        <v>27</v>
      </c>
      <c r="H430" s="4" t="s">
        <v>738</v>
      </c>
      <c r="I430" s="3"/>
    </row>
    <row r="431" ht="15.75" customHeight="1">
      <c r="A431" s="2">
        <v>433.0</v>
      </c>
      <c r="B431" s="3" t="s">
        <v>906</v>
      </c>
      <c r="C431" s="2">
        <v>5.70054000092E11</v>
      </c>
      <c r="D431" s="3" t="s">
        <v>1265</v>
      </c>
      <c r="E431" s="3" t="s">
        <v>1266</v>
      </c>
      <c r="F431" s="3" t="s">
        <v>1267</v>
      </c>
      <c r="G431" s="3" t="s">
        <v>20</v>
      </c>
      <c r="H431" s="4" t="s">
        <v>738</v>
      </c>
      <c r="I431" s="3"/>
    </row>
    <row r="432" ht="15.75" customHeight="1">
      <c r="A432" s="2">
        <v>434.0</v>
      </c>
      <c r="B432" s="3" t="s">
        <v>940</v>
      </c>
      <c r="C432" s="2">
        <v>5.70054000093E11</v>
      </c>
      <c r="D432" s="3" t="s">
        <v>293</v>
      </c>
      <c r="E432" s="3" t="s">
        <v>1268</v>
      </c>
      <c r="F432" s="3" t="s">
        <v>1269</v>
      </c>
      <c r="G432" s="3" t="s">
        <v>27</v>
      </c>
      <c r="H432" s="4" t="s">
        <v>738</v>
      </c>
      <c r="I432" s="3"/>
    </row>
    <row r="433" ht="15.75" customHeight="1">
      <c r="A433" s="2">
        <v>435.0</v>
      </c>
      <c r="B433" s="3" t="s">
        <v>1229</v>
      </c>
      <c r="C433" s="2">
        <v>5.70054000096E11</v>
      </c>
      <c r="D433" s="3" t="s">
        <v>1270</v>
      </c>
      <c r="E433" s="3" t="s">
        <v>825</v>
      </c>
      <c r="F433" s="3" t="s">
        <v>1271</v>
      </c>
      <c r="G433" s="3" t="s">
        <v>27</v>
      </c>
      <c r="H433" s="4" t="s">
        <v>738</v>
      </c>
      <c r="I433" s="3"/>
    </row>
    <row r="434" ht="15.75" customHeight="1">
      <c r="A434" s="2">
        <v>436.0</v>
      </c>
      <c r="B434" s="3" t="s">
        <v>1272</v>
      </c>
      <c r="C434" s="2">
        <v>5.70054000098E11</v>
      </c>
      <c r="D434" s="3" t="s">
        <v>940</v>
      </c>
      <c r="E434" s="3" t="s">
        <v>1273</v>
      </c>
      <c r="F434" s="3" t="s">
        <v>1274</v>
      </c>
      <c r="G434" s="3" t="s">
        <v>27</v>
      </c>
      <c r="H434" s="4" t="s">
        <v>738</v>
      </c>
      <c r="I434" s="3"/>
    </row>
    <row r="435" ht="15.75" customHeight="1">
      <c r="A435" s="2">
        <v>437.0</v>
      </c>
      <c r="B435" s="3" t="s">
        <v>1275</v>
      </c>
      <c r="C435" s="2">
        <v>5.70054000099E11</v>
      </c>
      <c r="D435" s="3" t="s">
        <v>363</v>
      </c>
      <c r="E435" s="3" t="s">
        <v>364</v>
      </c>
      <c r="F435" s="3" t="s">
        <v>1276</v>
      </c>
      <c r="G435" s="3" t="s">
        <v>27</v>
      </c>
      <c r="H435" s="4" t="s">
        <v>738</v>
      </c>
      <c r="I435" s="3"/>
    </row>
    <row r="436" ht="15.75" customHeight="1">
      <c r="A436" s="2">
        <v>438.0</v>
      </c>
      <c r="B436" s="3" t="s">
        <v>356</v>
      </c>
      <c r="C436" s="2">
        <v>5.700540001E11</v>
      </c>
      <c r="D436" s="3" t="s">
        <v>1179</v>
      </c>
      <c r="E436" s="3" t="s">
        <v>1277</v>
      </c>
      <c r="F436" s="3" t="s">
        <v>1278</v>
      </c>
      <c r="G436" s="3" t="s">
        <v>27</v>
      </c>
      <c r="H436" s="4" t="s">
        <v>738</v>
      </c>
      <c r="I436" s="3"/>
    </row>
    <row r="437" ht="15.75" customHeight="1">
      <c r="A437" s="2">
        <v>439.0</v>
      </c>
      <c r="B437" s="3" t="s">
        <v>1279</v>
      </c>
      <c r="C437" s="2">
        <v>5.700540001E9</v>
      </c>
      <c r="D437" s="3" t="s">
        <v>456</v>
      </c>
      <c r="E437" s="3" t="s">
        <v>159</v>
      </c>
      <c r="F437" s="3" t="s">
        <v>1280</v>
      </c>
      <c r="G437" s="3" t="s">
        <v>1281</v>
      </c>
      <c r="H437" s="4" t="s">
        <v>738</v>
      </c>
      <c r="I437" s="3"/>
    </row>
    <row r="438" ht="15.75" customHeight="1">
      <c r="A438" s="2">
        <v>440.0</v>
      </c>
      <c r="B438" s="3" t="s">
        <v>1282</v>
      </c>
      <c r="C438" s="2">
        <v>5.7005400103E10</v>
      </c>
      <c r="D438" s="3" t="s">
        <v>1283</v>
      </c>
      <c r="E438" s="3" t="s">
        <v>1284</v>
      </c>
      <c r="F438" s="3" t="s">
        <v>1285</v>
      </c>
      <c r="G438" s="3" t="s">
        <v>27</v>
      </c>
      <c r="H438" s="4" t="s">
        <v>738</v>
      </c>
      <c r="I438" s="3"/>
    </row>
    <row r="439" ht="15.75" customHeight="1">
      <c r="A439" s="2">
        <v>441.0</v>
      </c>
      <c r="B439" s="3" t="s">
        <v>1286</v>
      </c>
      <c r="C439" s="2">
        <v>5.70054000104E11</v>
      </c>
      <c r="D439" s="3" t="s">
        <v>1287</v>
      </c>
      <c r="E439" s="3" t="s">
        <v>1288</v>
      </c>
      <c r="F439" s="3" t="s">
        <v>1289</v>
      </c>
      <c r="G439" s="3" t="s">
        <v>27</v>
      </c>
      <c r="H439" s="4" t="s">
        <v>738</v>
      </c>
      <c r="I439" s="3"/>
    </row>
    <row r="440" ht="15.75" customHeight="1">
      <c r="A440" s="2">
        <v>442.0</v>
      </c>
      <c r="B440" s="3" t="s">
        <v>1290</v>
      </c>
      <c r="C440" s="2">
        <v>5.70054000105E11</v>
      </c>
      <c r="D440" s="3" t="s">
        <v>53</v>
      </c>
      <c r="E440" s="3" t="s">
        <v>405</v>
      </c>
      <c r="F440" s="3" t="s">
        <v>1261</v>
      </c>
      <c r="G440" s="3" t="s">
        <v>27</v>
      </c>
      <c r="H440" s="4" t="s">
        <v>738</v>
      </c>
      <c r="I440" s="3"/>
    </row>
    <row r="441" ht="15.75" customHeight="1">
      <c r="A441" s="2">
        <v>443.0</v>
      </c>
      <c r="B441" s="3" t="s">
        <v>529</v>
      </c>
      <c r="C441" s="2">
        <v>5.70054000106E11</v>
      </c>
      <c r="D441" s="3" t="s">
        <v>1291</v>
      </c>
      <c r="E441" s="3" t="s">
        <v>1292</v>
      </c>
      <c r="F441" s="3" t="s">
        <v>1293</v>
      </c>
      <c r="G441" s="3" t="s">
        <v>27</v>
      </c>
      <c r="H441" s="4" t="s">
        <v>738</v>
      </c>
      <c r="I441" s="3"/>
    </row>
    <row r="442" ht="15.75" customHeight="1">
      <c r="A442" s="2">
        <v>444.0</v>
      </c>
      <c r="B442" s="3" t="s">
        <v>1294</v>
      </c>
      <c r="C442" s="2">
        <v>5.70054000107E11</v>
      </c>
      <c r="D442" s="3" t="s">
        <v>1295</v>
      </c>
      <c r="E442" s="3" t="s">
        <v>251</v>
      </c>
      <c r="F442" s="3" t="s">
        <v>1296</v>
      </c>
      <c r="G442" s="3" t="s">
        <v>20</v>
      </c>
      <c r="H442" s="4" t="s">
        <v>738</v>
      </c>
      <c r="I442" s="3"/>
    </row>
    <row r="443" ht="15.75" customHeight="1">
      <c r="A443" s="2">
        <v>445.0</v>
      </c>
      <c r="B443" s="3" t="s">
        <v>1297</v>
      </c>
      <c r="C443" s="2">
        <v>5.7005400117E10</v>
      </c>
      <c r="D443" s="3" t="s">
        <v>79</v>
      </c>
      <c r="E443" s="3" t="s">
        <v>1298</v>
      </c>
      <c r="F443" s="3" t="s">
        <v>1299</v>
      </c>
      <c r="G443" s="3" t="s">
        <v>156</v>
      </c>
      <c r="H443" s="4" t="s">
        <v>738</v>
      </c>
      <c r="I443" s="3"/>
    </row>
    <row r="444" ht="15.75" customHeight="1">
      <c r="A444" s="2">
        <v>446.0</v>
      </c>
      <c r="B444" s="3" t="s">
        <v>837</v>
      </c>
      <c r="C444" s="2">
        <v>5.7005400119E10</v>
      </c>
      <c r="D444" s="3" t="s">
        <v>1300</v>
      </c>
      <c r="E444" s="3" t="s">
        <v>513</v>
      </c>
      <c r="F444" s="3" t="s">
        <v>1301</v>
      </c>
      <c r="G444" s="3" t="s">
        <v>1302</v>
      </c>
      <c r="H444" s="4" t="s">
        <v>738</v>
      </c>
      <c r="I444" s="3"/>
    </row>
    <row r="445" ht="15.75" customHeight="1">
      <c r="A445" s="2">
        <v>447.0</v>
      </c>
      <c r="B445" s="3" t="s">
        <v>1303</v>
      </c>
      <c r="C445" s="2">
        <v>5.7005400124E10</v>
      </c>
      <c r="D445" s="3" t="s">
        <v>1185</v>
      </c>
      <c r="E445" s="3" t="s">
        <v>1045</v>
      </c>
      <c r="F445" s="3" t="s">
        <v>1304</v>
      </c>
      <c r="G445" s="3" t="s">
        <v>20</v>
      </c>
      <c r="H445" s="4" t="s">
        <v>738</v>
      </c>
      <c r="I445" s="3"/>
    </row>
    <row r="446" ht="15.75" customHeight="1">
      <c r="A446" s="2">
        <v>448.0</v>
      </c>
      <c r="B446" s="3" t="s">
        <v>1305</v>
      </c>
      <c r="C446" s="2">
        <v>5.700540013E9</v>
      </c>
      <c r="D446" s="3" t="s">
        <v>1306</v>
      </c>
      <c r="E446" s="3" t="s">
        <v>1307</v>
      </c>
      <c r="F446" s="3" t="s">
        <v>1308</v>
      </c>
      <c r="G446" s="3" t="s">
        <v>20</v>
      </c>
      <c r="H446" s="4" t="s">
        <v>738</v>
      </c>
      <c r="I446" s="3"/>
    </row>
    <row r="447" ht="15.75" customHeight="1">
      <c r="A447" s="2">
        <v>449.0</v>
      </c>
      <c r="B447" s="3" t="s">
        <v>56</v>
      </c>
      <c r="C447" s="2">
        <v>5.7005400132E10</v>
      </c>
      <c r="D447" s="3" t="s">
        <v>1309</v>
      </c>
      <c r="E447" s="3" t="s">
        <v>1310</v>
      </c>
      <c r="F447" s="3" t="s">
        <v>1311</v>
      </c>
      <c r="G447" s="3" t="s">
        <v>144</v>
      </c>
      <c r="H447" s="4" t="s">
        <v>738</v>
      </c>
      <c r="I447" s="3"/>
    </row>
    <row r="448" ht="15.75" customHeight="1">
      <c r="A448" s="2">
        <v>450.0</v>
      </c>
      <c r="B448" s="3" t="s">
        <v>1312</v>
      </c>
      <c r="C448" s="2">
        <v>5.7005400135E10</v>
      </c>
      <c r="D448" s="3" t="s">
        <v>1313</v>
      </c>
      <c r="E448" s="3" t="s">
        <v>1314</v>
      </c>
      <c r="F448" s="3" t="s">
        <v>1315</v>
      </c>
      <c r="G448" s="3" t="s">
        <v>128</v>
      </c>
      <c r="H448" s="4" t="s">
        <v>738</v>
      </c>
      <c r="I448" s="3"/>
    </row>
    <row r="449" ht="15.75" customHeight="1">
      <c r="A449" s="2">
        <v>451.0</v>
      </c>
      <c r="B449" s="3" t="s">
        <v>1316</v>
      </c>
      <c r="C449" s="2">
        <v>5.7005400137E10</v>
      </c>
      <c r="D449" s="3" t="s">
        <v>1317</v>
      </c>
      <c r="E449" s="3" t="s">
        <v>1318</v>
      </c>
      <c r="F449" s="3" t="s">
        <v>1319</v>
      </c>
      <c r="G449" s="3" t="s">
        <v>184</v>
      </c>
      <c r="H449" s="4" t="s">
        <v>738</v>
      </c>
      <c r="I449" s="3"/>
    </row>
    <row r="450" ht="15.75" customHeight="1">
      <c r="A450" s="2">
        <v>452.0</v>
      </c>
      <c r="B450" s="3" t="s">
        <v>1320</v>
      </c>
      <c r="C450" s="2">
        <v>5.7005400145E10</v>
      </c>
      <c r="D450" s="3" t="s">
        <v>1321</v>
      </c>
      <c r="E450" s="3" t="s">
        <v>1322</v>
      </c>
      <c r="F450" s="3" t="s">
        <v>1323</v>
      </c>
      <c r="G450" s="3" t="s">
        <v>184</v>
      </c>
      <c r="H450" s="4" t="s">
        <v>738</v>
      </c>
      <c r="I450" s="3"/>
    </row>
    <row r="451" ht="15.75" customHeight="1">
      <c r="A451" s="2">
        <v>453.0</v>
      </c>
      <c r="B451" s="3" t="s">
        <v>1324</v>
      </c>
      <c r="C451" s="2">
        <v>5.70054000081E11</v>
      </c>
      <c r="D451" s="3" t="s">
        <v>279</v>
      </c>
      <c r="E451" s="3" t="s">
        <v>374</v>
      </c>
      <c r="F451" s="3" t="s">
        <v>1325</v>
      </c>
      <c r="G451" s="3" t="s">
        <v>27</v>
      </c>
      <c r="H451" s="4" t="s">
        <v>738</v>
      </c>
      <c r="I451" s="3"/>
    </row>
    <row r="452" ht="15.75" customHeight="1">
      <c r="A452" s="2">
        <v>454.0</v>
      </c>
      <c r="B452" s="3" t="s">
        <v>1326</v>
      </c>
      <c r="C452" s="2">
        <v>5.7005400102E10</v>
      </c>
      <c r="D452" s="3" t="s">
        <v>91</v>
      </c>
      <c r="E452" s="3" t="s">
        <v>441</v>
      </c>
      <c r="F452" s="3" t="s">
        <v>1327</v>
      </c>
      <c r="G452" s="3" t="s">
        <v>48</v>
      </c>
      <c r="H452" s="4" t="s">
        <v>738</v>
      </c>
      <c r="I452" s="3"/>
    </row>
    <row r="453" ht="15.75" customHeight="1">
      <c r="A453" s="2">
        <v>455.0</v>
      </c>
      <c r="B453" s="3" t="s">
        <v>937</v>
      </c>
      <c r="C453" s="2">
        <v>5.70054000121E11</v>
      </c>
      <c r="D453" s="3" t="s">
        <v>1328</v>
      </c>
      <c r="E453" s="3" t="s">
        <v>1260</v>
      </c>
      <c r="F453" s="3" t="s">
        <v>1329</v>
      </c>
      <c r="G453" s="3" t="s">
        <v>27</v>
      </c>
      <c r="H453" s="4" t="s">
        <v>738</v>
      </c>
      <c r="I453" s="3"/>
    </row>
    <row r="454" ht="15.75" customHeight="1">
      <c r="A454" s="2">
        <v>456.0</v>
      </c>
      <c r="B454" s="3" t="s">
        <v>1330</v>
      </c>
      <c r="C454" s="2">
        <v>5.70054000063E11</v>
      </c>
      <c r="D454" s="3" t="s">
        <v>1331</v>
      </c>
      <c r="E454" s="3" t="s">
        <v>1332</v>
      </c>
      <c r="F454" s="3" t="s">
        <v>1333</v>
      </c>
      <c r="G454" s="3" t="s">
        <v>48</v>
      </c>
      <c r="H454" s="4" t="s">
        <v>738</v>
      </c>
      <c r="I454" s="3"/>
    </row>
    <row r="455" ht="15.75" customHeight="1">
      <c r="A455" s="2">
        <v>457.0</v>
      </c>
      <c r="B455" s="3" t="s">
        <v>1334</v>
      </c>
      <c r="C455" s="2">
        <v>5.70054000097E11</v>
      </c>
      <c r="D455" s="3" t="s">
        <v>1335</v>
      </c>
      <c r="E455" s="3" t="s">
        <v>1336</v>
      </c>
      <c r="F455" s="3" t="s">
        <v>1337</v>
      </c>
      <c r="G455" s="3" t="s">
        <v>144</v>
      </c>
      <c r="H455" s="4" t="s">
        <v>738</v>
      </c>
      <c r="I455" s="3"/>
    </row>
    <row r="456" ht="15.75" customHeight="1">
      <c r="A456" s="2">
        <v>458.0</v>
      </c>
      <c r="B456" s="3" t="s">
        <v>1338</v>
      </c>
      <c r="C456" s="2">
        <v>5.70054000074E11</v>
      </c>
      <c r="D456" s="3" t="s">
        <v>1339</v>
      </c>
      <c r="E456" s="3" t="s">
        <v>1340</v>
      </c>
      <c r="F456" s="3" t="s">
        <v>1341</v>
      </c>
      <c r="G456" s="3" t="s">
        <v>48</v>
      </c>
      <c r="H456" s="4" t="s">
        <v>738</v>
      </c>
      <c r="I456" s="3"/>
    </row>
    <row r="457" ht="15.75" customHeight="1">
      <c r="A457" s="2">
        <v>459.0</v>
      </c>
      <c r="B457" s="3" t="s">
        <v>1342</v>
      </c>
      <c r="C457" s="2">
        <v>5.70054000077E11</v>
      </c>
      <c r="D457" s="3" t="s">
        <v>1343</v>
      </c>
      <c r="E457" s="3" t="s">
        <v>1344</v>
      </c>
      <c r="F457" s="3" t="s">
        <v>1345</v>
      </c>
      <c r="G457" s="3" t="s">
        <v>27</v>
      </c>
      <c r="H457" s="4" t="s">
        <v>738</v>
      </c>
      <c r="I457" s="3"/>
    </row>
    <row r="458" ht="15.75" customHeight="1">
      <c r="A458" s="2">
        <v>460.0</v>
      </c>
      <c r="B458" s="3" t="s">
        <v>1346</v>
      </c>
      <c r="C458" s="2">
        <v>5.70054000078E11</v>
      </c>
      <c r="D458" s="3" t="s">
        <v>296</v>
      </c>
      <c r="E458" s="3" t="s">
        <v>1347</v>
      </c>
      <c r="F458" s="3" t="s">
        <v>1345</v>
      </c>
      <c r="G458" s="3" t="s">
        <v>27</v>
      </c>
      <c r="H458" s="4" t="s">
        <v>738</v>
      </c>
      <c r="I458" s="3"/>
    </row>
    <row r="459" ht="15.75" customHeight="1">
      <c r="A459" s="2">
        <v>461.0</v>
      </c>
      <c r="B459" s="3" t="s">
        <v>1348</v>
      </c>
      <c r="C459" s="2">
        <v>5.7005400141E10</v>
      </c>
      <c r="D459" s="3" t="s">
        <v>742</v>
      </c>
      <c r="E459" s="3" t="s">
        <v>711</v>
      </c>
      <c r="F459" s="3" t="s">
        <v>1349</v>
      </c>
      <c r="G459" s="3" t="s">
        <v>48</v>
      </c>
      <c r="H459" s="4" t="s">
        <v>738</v>
      </c>
      <c r="I459" s="3"/>
    </row>
    <row r="460" ht="15.75" customHeight="1">
      <c r="A460" s="2">
        <v>462.0</v>
      </c>
      <c r="B460" s="3" t="s">
        <v>1350</v>
      </c>
      <c r="C460" s="2">
        <v>5.70054000147E11</v>
      </c>
      <c r="D460" s="3" t="s">
        <v>61</v>
      </c>
      <c r="E460" s="3" t="s">
        <v>1351</v>
      </c>
      <c r="F460" s="3" t="s">
        <v>1352</v>
      </c>
      <c r="G460" s="3" t="s">
        <v>20</v>
      </c>
      <c r="H460" s="4" t="s">
        <v>738</v>
      </c>
      <c r="I460" s="3"/>
    </row>
    <row r="461" ht="15.75" customHeight="1">
      <c r="A461" s="2">
        <v>463.0</v>
      </c>
      <c r="B461" s="3" t="s">
        <v>1353</v>
      </c>
      <c r="C461" s="2">
        <v>5.7005400148E10</v>
      </c>
      <c r="D461" s="3" t="s">
        <v>193</v>
      </c>
      <c r="E461" s="3" t="s">
        <v>83</v>
      </c>
      <c r="F461" s="3" t="s">
        <v>1354</v>
      </c>
      <c r="G461" s="3" t="s">
        <v>27</v>
      </c>
      <c r="H461" s="4" t="s">
        <v>738</v>
      </c>
      <c r="I461" s="3"/>
    </row>
    <row r="462" ht="15.75" customHeight="1">
      <c r="A462" s="2">
        <v>464.0</v>
      </c>
      <c r="B462" s="3" t="s">
        <v>1355</v>
      </c>
      <c r="C462" s="2">
        <v>5.700540015E10</v>
      </c>
      <c r="D462" s="3" t="s">
        <v>1356</v>
      </c>
      <c r="E462" s="3" t="s">
        <v>1357</v>
      </c>
      <c r="F462" s="3" t="s">
        <v>1358</v>
      </c>
      <c r="G462" s="3" t="s">
        <v>1359</v>
      </c>
      <c r="H462" s="4" t="s">
        <v>738</v>
      </c>
      <c r="I462" s="3"/>
    </row>
    <row r="463" ht="15.75" customHeight="1">
      <c r="A463" s="2">
        <v>465.0</v>
      </c>
      <c r="B463" s="3" t="s">
        <v>443</v>
      </c>
      <c r="C463" s="2">
        <v>5.7005400152E10</v>
      </c>
      <c r="D463" s="3" t="s">
        <v>784</v>
      </c>
      <c r="E463" s="3" t="s">
        <v>1360</v>
      </c>
      <c r="F463" s="3" t="s">
        <v>1361</v>
      </c>
      <c r="G463" s="3" t="s">
        <v>27</v>
      </c>
      <c r="H463" s="4" t="s">
        <v>738</v>
      </c>
      <c r="I463" s="3"/>
    </row>
    <row r="464" ht="15.75" customHeight="1">
      <c r="A464" s="2">
        <v>466.0</v>
      </c>
      <c r="B464" s="3" t="s">
        <v>1236</v>
      </c>
      <c r="C464" s="2">
        <v>5.7005400153E10</v>
      </c>
      <c r="D464" s="3" t="s">
        <v>981</v>
      </c>
      <c r="E464" s="3" t="s">
        <v>1362</v>
      </c>
      <c r="F464" s="3" t="s">
        <v>1363</v>
      </c>
      <c r="G464" s="3" t="s">
        <v>48</v>
      </c>
      <c r="H464" s="4" t="s">
        <v>738</v>
      </c>
      <c r="I464" s="3"/>
    </row>
    <row r="465" ht="15.75" customHeight="1">
      <c r="A465" s="2">
        <v>467.0</v>
      </c>
      <c r="B465" s="3" t="s">
        <v>1364</v>
      </c>
      <c r="C465" s="2">
        <v>5.7005400154E10</v>
      </c>
      <c r="D465" s="3" t="s">
        <v>1365</v>
      </c>
      <c r="E465" s="3" t="s">
        <v>488</v>
      </c>
      <c r="F465" s="3" t="s">
        <v>1366</v>
      </c>
      <c r="G465" s="3" t="s">
        <v>27</v>
      </c>
      <c r="H465" s="4" t="s">
        <v>738</v>
      </c>
      <c r="I465" s="3"/>
    </row>
    <row r="466" ht="15.75" customHeight="1">
      <c r="A466" s="2">
        <v>468.0</v>
      </c>
      <c r="B466" s="3"/>
      <c r="C466" s="3"/>
      <c r="D466" s="3"/>
      <c r="E466" s="3"/>
      <c r="F466" s="3"/>
      <c r="G466" s="3"/>
      <c r="H466" s="3" t="s">
        <v>775</v>
      </c>
      <c r="I466" s="3"/>
    </row>
    <row r="467" ht="15.75" customHeight="1">
      <c r="A467" s="2">
        <v>469.0</v>
      </c>
      <c r="B467" s="3" t="s">
        <v>1367</v>
      </c>
      <c r="C467" s="2">
        <v>5.7005400157E10</v>
      </c>
      <c r="D467" s="3" t="s">
        <v>107</v>
      </c>
      <c r="E467" s="3" t="s">
        <v>384</v>
      </c>
      <c r="F467" s="3" t="s">
        <v>1368</v>
      </c>
      <c r="G467" s="3" t="s">
        <v>27</v>
      </c>
      <c r="H467" s="4" t="s">
        <v>738</v>
      </c>
      <c r="I467" s="3"/>
    </row>
    <row r="468" ht="15.75" customHeight="1">
      <c r="A468" s="2">
        <v>470.0</v>
      </c>
      <c r="B468" s="3" t="s">
        <v>35</v>
      </c>
      <c r="C468" s="2">
        <v>5.7005400158E10</v>
      </c>
      <c r="D468" s="3" t="s">
        <v>1369</v>
      </c>
      <c r="E468" s="3" t="s">
        <v>1370</v>
      </c>
      <c r="F468" s="3" t="s">
        <v>1371</v>
      </c>
      <c r="G468" s="3" t="s">
        <v>48</v>
      </c>
      <c r="H468" s="4" t="s">
        <v>738</v>
      </c>
      <c r="I468" s="3"/>
    </row>
    <row r="469" ht="15.75" customHeight="1">
      <c r="A469" s="2">
        <v>471.0</v>
      </c>
      <c r="B469" s="3" t="s">
        <v>1372</v>
      </c>
      <c r="C469" s="2">
        <v>5.7005400159E10</v>
      </c>
      <c r="D469" s="3" t="s">
        <v>1316</v>
      </c>
      <c r="E469" s="3" t="s">
        <v>1373</v>
      </c>
      <c r="F469" s="3" t="s">
        <v>1374</v>
      </c>
      <c r="G469" s="3" t="s">
        <v>48</v>
      </c>
      <c r="H469" s="4" t="s">
        <v>738</v>
      </c>
      <c r="I469" s="3"/>
    </row>
    <row r="470" ht="15.75" customHeight="1">
      <c r="A470" s="2">
        <v>472.0</v>
      </c>
      <c r="B470" s="3" t="s">
        <v>1375</v>
      </c>
      <c r="C470" s="2">
        <v>5.700540016E10</v>
      </c>
      <c r="D470" s="3" t="s">
        <v>58</v>
      </c>
      <c r="E470" s="3" t="s">
        <v>405</v>
      </c>
      <c r="F470" s="3" t="s">
        <v>1376</v>
      </c>
      <c r="G470" s="3" t="s">
        <v>1377</v>
      </c>
      <c r="H470" s="4" t="s">
        <v>738</v>
      </c>
      <c r="I470" s="3"/>
    </row>
    <row r="471" ht="15.75" customHeight="1">
      <c r="A471" s="2">
        <v>473.0</v>
      </c>
      <c r="B471" s="3" t="s">
        <v>56</v>
      </c>
      <c r="C471" s="2">
        <v>5.7005400161E10</v>
      </c>
      <c r="D471" s="3" t="s">
        <v>260</v>
      </c>
      <c r="E471" s="3" t="s">
        <v>1378</v>
      </c>
      <c r="F471" s="3" t="s">
        <v>1345</v>
      </c>
      <c r="G471" s="3" t="s">
        <v>27</v>
      </c>
      <c r="H471" s="4" t="s">
        <v>738</v>
      </c>
      <c r="I471" s="3"/>
    </row>
    <row r="472" ht="15.75" customHeight="1">
      <c r="A472" s="2">
        <v>474.0</v>
      </c>
      <c r="B472" s="3" t="s">
        <v>1379</v>
      </c>
      <c r="C472" s="2">
        <v>5.7005400162E10</v>
      </c>
      <c r="D472" s="3" t="s">
        <v>1380</v>
      </c>
      <c r="E472" s="3" t="s">
        <v>1381</v>
      </c>
      <c r="F472" s="3" t="s">
        <v>1382</v>
      </c>
      <c r="G472" s="3" t="s">
        <v>48</v>
      </c>
      <c r="H472" s="4" t="s">
        <v>738</v>
      </c>
      <c r="I472" s="3"/>
    </row>
    <row r="473" ht="15.75" customHeight="1">
      <c r="A473" s="2">
        <v>475.0</v>
      </c>
      <c r="B473" s="3" t="s">
        <v>1383</v>
      </c>
      <c r="C473" s="2">
        <v>5.7005400163E10</v>
      </c>
      <c r="D473" s="3" t="s">
        <v>817</v>
      </c>
      <c r="E473" s="3" t="s">
        <v>1384</v>
      </c>
      <c r="F473" s="3" t="s">
        <v>859</v>
      </c>
      <c r="G473" s="3" t="s">
        <v>1377</v>
      </c>
      <c r="H473" s="4" t="s">
        <v>738</v>
      </c>
      <c r="I473" s="3"/>
    </row>
    <row r="474" ht="15.75" customHeight="1">
      <c r="A474" s="2">
        <v>476.0</v>
      </c>
      <c r="B474" s="3" t="s">
        <v>1385</v>
      </c>
      <c r="C474" s="2">
        <v>5.7005400164E10</v>
      </c>
      <c r="D474" s="3" t="s">
        <v>959</v>
      </c>
      <c r="E474" s="3" t="s">
        <v>1386</v>
      </c>
      <c r="F474" s="3" t="s">
        <v>1387</v>
      </c>
      <c r="G474" s="3" t="s">
        <v>48</v>
      </c>
      <c r="H474" s="4" t="s">
        <v>738</v>
      </c>
      <c r="I474" s="3"/>
    </row>
    <row r="475" ht="15.75" customHeight="1">
      <c r="A475" s="2">
        <v>477.0</v>
      </c>
      <c r="B475" s="3" t="s">
        <v>398</v>
      </c>
      <c r="C475" s="2">
        <v>5.7005400165E10</v>
      </c>
      <c r="D475" s="3" t="s">
        <v>526</v>
      </c>
      <c r="E475" s="3" t="s">
        <v>527</v>
      </c>
      <c r="F475" s="3" t="s">
        <v>1388</v>
      </c>
      <c r="G475" s="3" t="s">
        <v>20</v>
      </c>
      <c r="H475" s="4" t="s">
        <v>738</v>
      </c>
      <c r="I475" s="3"/>
    </row>
    <row r="476" ht="15.75" customHeight="1">
      <c r="A476" s="2">
        <v>478.0</v>
      </c>
      <c r="B476" s="3" t="s">
        <v>500</v>
      </c>
      <c r="C476" s="2">
        <v>5.7005400166E10</v>
      </c>
      <c r="D476" s="3" t="s">
        <v>1389</v>
      </c>
      <c r="E476" s="3" t="s">
        <v>1390</v>
      </c>
      <c r="F476" s="3" t="s">
        <v>1391</v>
      </c>
      <c r="G476" s="3" t="s">
        <v>1359</v>
      </c>
      <c r="H476" s="4" t="s">
        <v>738</v>
      </c>
      <c r="I476" s="3"/>
    </row>
    <row r="477" ht="15.75" customHeight="1">
      <c r="A477" s="2">
        <v>479.0</v>
      </c>
      <c r="B477" s="3" t="s">
        <v>1392</v>
      </c>
      <c r="C477" s="2">
        <v>5.7005400169E10</v>
      </c>
      <c r="D477" s="3" t="s">
        <v>398</v>
      </c>
      <c r="E477" s="3" t="s">
        <v>472</v>
      </c>
      <c r="F477" s="3" t="s">
        <v>1393</v>
      </c>
      <c r="G477" s="3" t="s">
        <v>20</v>
      </c>
      <c r="H477" s="4" t="s">
        <v>738</v>
      </c>
      <c r="I477" s="3"/>
    </row>
    <row r="478" ht="15.75" customHeight="1">
      <c r="A478" s="2">
        <v>480.0</v>
      </c>
      <c r="B478" s="3" t="s">
        <v>1394</v>
      </c>
      <c r="C478" s="2">
        <v>5.700540017E10</v>
      </c>
      <c r="D478" s="3" t="s">
        <v>1395</v>
      </c>
      <c r="E478" s="3" t="s">
        <v>1396</v>
      </c>
      <c r="F478" s="3" t="s">
        <v>1397</v>
      </c>
      <c r="G478" s="3" t="s">
        <v>20</v>
      </c>
      <c r="H478" s="4" t="s">
        <v>738</v>
      </c>
      <c r="I478" s="3"/>
    </row>
    <row r="479" ht="15.75" customHeight="1">
      <c r="A479" s="2">
        <v>481.0</v>
      </c>
      <c r="B479" s="3" t="s">
        <v>342</v>
      </c>
      <c r="C479" s="2">
        <v>5.7005400172E10</v>
      </c>
      <c r="D479" s="3" t="s">
        <v>1398</v>
      </c>
      <c r="E479" s="3" t="s">
        <v>656</v>
      </c>
      <c r="F479" s="3" t="s">
        <v>1399</v>
      </c>
      <c r="G479" s="3" t="s">
        <v>27</v>
      </c>
      <c r="H479" s="4" t="s">
        <v>738</v>
      </c>
      <c r="I479" s="3"/>
    </row>
    <row r="480" ht="15.75" customHeight="1">
      <c r="A480" s="2">
        <v>482.0</v>
      </c>
      <c r="B480" s="3" t="s">
        <v>98</v>
      </c>
      <c r="C480" s="2">
        <v>5.7005400173E10</v>
      </c>
      <c r="D480" s="3" t="s">
        <v>234</v>
      </c>
      <c r="E480" s="3" t="s">
        <v>1156</v>
      </c>
      <c r="F480" s="3" t="s">
        <v>1400</v>
      </c>
      <c r="G480" s="3" t="s">
        <v>12</v>
      </c>
      <c r="H480" s="4" t="s">
        <v>738</v>
      </c>
      <c r="I480" s="3"/>
    </row>
    <row r="481" ht="15.75" customHeight="1">
      <c r="A481" s="2">
        <v>483.0</v>
      </c>
      <c r="B481" s="3" t="s">
        <v>1401</v>
      </c>
      <c r="C481" s="2">
        <v>5.7005400174E10</v>
      </c>
      <c r="D481" s="3" t="s">
        <v>913</v>
      </c>
      <c r="E481" s="3" t="s">
        <v>1106</v>
      </c>
      <c r="F481" s="3" t="s">
        <v>1402</v>
      </c>
      <c r="G481" s="3" t="s">
        <v>48</v>
      </c>
      <c r="H481" s="4" t="s">
        <v>738</v>
      </c>
      <c r="I481" s="3"/>
    </row>
    <row r="482" ht="15.75" customHeight="1">
      <c r="A482" s="2">
        <v>484.0</v>
      </c>
      <c r="B482" s="3" t="s">
        <v>1403</v>
      </c>
      <c r="C482" s="2">
        <v>5.700540000175E12</v>
      </c>
      <c r="D482" s="3" t="s">
        <v>1404</v>
      </c>
      <c r="E482" s="3" t="s">
        <v>1405</v>
      </c>
      <c r="F482" s="3" t="s">
        <v>1406</v>
      </c>
      <c r="G482" s="3" t="s">
        <v>48</v>
      </c>
      <c r="H482" s="4" t="s">
        <v>738</v>
      </c>
      <c r="I482" s="3"/>
    </row>
    <row r="483" ht="15.75" customHeight="1">
      <c r="A483" s="2">
        <v>485.0</v>
      </c>
      <c r="B483" s="3" t="s">
        <v>1407</v>
      </c>
      <c r="C483" s="2">
        <v>5.700540000186E12</v>
      </c>
      <c r="D483" s="3" t="s">
        <v>87</v>
      </c>
      <c r="E483" s="3" t="s">
        <v>484</v>
      </c>
      <c r="F483" s="3" t="s">
        <v>1408</v>
      </c>
      <c r="G483" s="3" t="s">
        <v>48</v>
      </c>
      <c r="H483" s="4" t="s">
        <v>738</v>
      </c>
      <c r="I483" s="3"/>
    </row>
    <row r="484" ht="15.75" customHeight="1">
      <c r="A484" s="2">
        <v>486.0</v>
      </c>
      <c r="B484" s="3" t="s">
        <v>1409</v>
      </c>
      <c r="C484" s="2">
        <v>5.700540000187E12</v>
      </c>
      <c r="D484" s="3" t="s">
        <v>1410</v>
      </c>
      <c r="E484" s="3" t="s">
        <v>1411</v>
      </c>
      <c r="F484" s="3" t="s">
        <v>1412</v>
      </c>
      <c r="G484" s="3" t="s">
        <v>156</v>
      </c>
      <c r="H484" s="4" t="s">
        <v>738</v>
      </c>
      <c r="I484" s="3"/>
    </row>
    <row r="485" ht="15.75" customHeight="1">
      <c r="A485" s="2">
        <v>487.0</v>
      </c>
      <c r="B485" s="3" t="s">
        <v>1413</v>
      </c>
      <c r="C485" s="2">
        <v>5.700540000196E12</v>
      </c>
      <c r="D485" s="3" t="s">
        <v>480</v>
      </c>
      <c r="E485" s="3" t="s">
        <v>1414</v>
      </c>
      <c r="F485" s="3" t="s">
        <v>1415</v>
      </c>
      <c r="G485" s="3" t="s">
        <v>48</v>
      </c>
      <c r="H485" s="4" t="s">
        <v>738</v>
      </c>
      <c r="I485" s="3"/>
    </row>
    <row r="486" ht="15.75" customHeight="1">
      <c r="A486" s="2">
        <v>488.0</v>
      </c>
      <c r="B486" s="3" t="s">
        <v>1416</v>
      </c>
      <c r="C486" s="2">
        <v>5.700540000197E12</v>
      </c>
      <c r="D486" s="3" t="s">
        <v>1417</v>
      </c>
      <c r="E486" s="3" t="s">
        <v>1418</v>
      </c>
      <c r="F486" s="3" t="s">
        <v>1419</v>
      </c>
      <c r="G486" s="3" t="s">
        <v>156</v>
      </c>
      <c r="H486" s="4" t="s">
        <v>738</v>
      </c>
      <c r="I486" s="3"/>
    </row>
    <row r="487" ht="15.75" customHeight="1">
      <c r="A487" s="2">
        <v>489.0</v>
      </c>
      <c r="B487" s="3" t="s">
        <v>1420</v>
      </c>
      <c r="C487" s="2">
        <v>5.700540000198E12</v>
      </c>
      <c r="D487" s="3" t="s">
        <v>526</v>
      </c>
      <c r="E487" s="3" t="s">
        <v>1421</v>
      </c>
      <c r="F487" s="3" t="s">
        <v>1232</v>
      </c>
      <c r="G487" s="3" t="s">
        <v>156</v>
      </c>
      <c r="H487" s="4" t="s">
        <v>738</v>
      </c>
      <c r="I487" s="3"/>
    </row>
    <row r="488" ht="15.75" customHeight="1">
      <c r="A488" s="2">
        <v>490.0</v>
      </c>
      <c r="B488" s="3" t="s">
        <v>1422</v>
      </c>
      <c r="C488" s="2">
        <v>5.700540000199E12</v>
      </c>
      <c r="D488" s="3" t="s">
        <v>1423</v>
      </c>
      <c r="E488" s="3" t="s">
        <v>1424</v>
      </c>
      <c r="F488" s="3" t="s">
        <v>1425</v>
      </c>
      <c r="G488" s="3" t="s">
        <v>20</v>
      </c>
      <c r="H488" s="4" t="s">
        <v>738</v>
      </c>
      <c r="I488" s="3"/>
    </row>
    <row r="489" ht="15.75" customHeight="1">
      <c r="A489" s="2">
        <v>491.0</v>
      </c>
      <c r="B489" s="3" t="s">
        <v>1426</v>
      </c>
      <c r="C489" s="2">
        <v>5.7005400002E12</v>
      </c>
      <c r="D489" s="3" t="s">
        <v>8</v>
      </c>
      <c r="E489" s="3" t="s">
        <v>1427</v>
      </c>
      <c r="F489" s="3" t="s">
        <v>1428</v>
      </c>
      <c r="G489" s="3" t="s">
        <v>156</v>
      </c>
      <c r="H489" s="4" t="s">
        <v>738</v>
      </c>
      <c r="I489" s="3"/>
    </row>
    <row r="490" ht="15.75" customHeight="1">
      <c r="A490" s="2">
        <v>492.0</v>
      </c>
      <c r="B490" s="3" t="s">
        <v>1429</v>
      </c>
      <c r="C490" s="2">
        <v>5.700540000203E12</v>
      </c>
      <c r="D490" s="3" t="s">
        <v>1430</v>
      </c>
      <c r="E490" s="3" t="s">
        <v>1431</v>
      </c>
      <c r="F490" s="3" t="s">
        <v>1432</v>
      </c>
      <c r="G490" s="3" t="s">
        <v>1359</v>
      </c>
      <c r="H490" s="4" t="s">
        <v>738</v>
      </c>
      <c r="I490" s="3"/>
    </row>
    <row r="491" ht="15.75" customHeight="1">
      <c r="A491" s="2">
        <v>493.0</v>
      </c>
      <c r="B491" s="3" t="s">
        <v>1433</v>
      </c>
      <c r="C491" s="2">
        <v>5.700540000204E12</v>
      </c>
      <c r="D491" s="3" t="s">
        <v>720</v>
      </c>
      <c r="E491" s="3" t="s">
        <v>1434</v>
      </c>
      <c r="F491" s="3" t="s">
        <v>1435</v>
      </c>
      <c r="G491" s="3" t="s">
        <v>48</v>
      </c>
      <c r="H491" s="4" t="s">
        <v>738</v>
      </c>
      <c r="I491" s="3"/>
    </row>
    <row r="492" ht="15.75" customHeight="1">
      <c r="A492" s="2">
        <v>494.0</v>
      </c>
      <c r="B492" s="3" t="s">
        <v>185</v>
      </c>
      <c r="C492" s="2">
        <v>5.700540000205E12</v>
      </c>
      <c r="D492" s="3" t="s">
        <v>576</v>
      </c>
      <c r="E492" s="3" t="s">
        <v>1436</v>
      </c>
      <c r="F492" s="3" t="s">
        <v>1437</v>
      </c>
      <c r="G492" s="3" t="s">
        <v>48</v>
      </c>
      <c r="H492" s="4" t="s">
        <v>738</v>
      </c>
      <c r="I492" s="3"/>
    </row>
    <row r="493" ht="15.75" customHeight="1">
      <c r="A493" s="2">
        <v>495.0</v>
      </c>
      <c r="B493" s="3" t="s">
        <v>165</v>
      </c>
      <c r="C493" s="2">
        <v>5.700540000207E12</v>
      </c>
      <c r="D493" s="3" t="s">
        <v>1438</v>
      </c>
      <c r="E493" s="3" t="s">
        <v>1439</v>
      </c>
      <c r="F493" s="3" t="s">
        <v>1440</v>
      </c>
      <c r="G493" s="3" t="s">
        <v>156</v>
      </c>
      <c r="H493" s="4" t="s">
        <v>738</v>
      </c>
      <c r="I493" s="3"/>
    </row>
    <row r="494" ht="15.75" customHeight="1">
      <c r="A494" s="2">
        <v>496.0</v>
      </c>
      <c r="B494" s="3" t="s">
        <v>1441</v>
      </c>
      <c r="C494" s="2">
        <v>5.700540000211E12</v>
      </c>
      <c r="D494" s="3" t="s">
        <v>735</v>
      </c>
      <c r="E494" s="3" t="s">
        <v>544</v>
      </c>
      <c r="F494" s="3" t="s">
        <v>1442</v>
      </c>
      <c r="G494" s="3" t="s">
        <v>48</v>
      </c>
      <c r="H494" s="4" t="s">
        <v>738</v>
      </c>
      <c r="I494" s="3"/>
    </row>
    <row r="495" ht="15.75" customHeight="1">
      <c r="A495" s="2">
        <v>497.0</v>
      </c>
      <c r="B495" s="3" t="s">
        <v>1443</v>
      </c>
      <c r="C495" s="2">
        <v>5.700540000214E12</v>
      </c>
      <c r="D495" s="3" t="s">
        <v>823</v>
      </c>
      <c r="E495" s="3" t="s">
        <v>556</v>
      </c>
      <c r="F495" s="3" t="s">
        <v>1444</v>
      </c>
      <c r="G495" s="3" t="s">
        <v>20</v>
      </c>
      <c r="H495" s="4" t="s">
        <v>738</v>
      </c>
      <c r="I495" s="3"/>
    </row>
    <row r="496" ht="15.75" customHeight="1">
      <c r="A496" s="2">
        <v>498.0</v>
      </c>
      <c r="B496" s="3" t="s">
        <v>410</v>
      </c>
      <c r="C496" s="2">
        <v>5.700540000215E12</v>
      </c>
      <c r="D496" s="3" t="s">
        <v>790</v>
      </c>
      <c r="E496" s="3" t="s">
        <v>244</v>
      </c>
      <c r="F496" s="3" t="s">
        <v>1445</v>
      </c>
      <c r="G496" s="3" t="s">
        <v>48</v>
      </c>
      <c r="H496" s="4" t="s">
        <v>738</v>
      </c>
      <c r="I496" s="3"/>
    </row>
    <row r="497" ht="15.75" customHeight="1">
      <c r="A497" s="2">
        <v>499.0</v>
      </c>
      <c r="B497" s="3" t="s">
        <v>1346</v>
      </c>
      <c r="C497" s="2">
        <v>5.700540000216E12</v>
      </c>
      <c r="D497" s="3" t="s">
        <v>1105</v>
      </c>
      <c r="E497" s="3" t="s">
        <v>1446</v>
      </c>
      <c r="F497" s="3" t="s">
        <v>1447</v>
      </c>
      <c r="G497" s="3" t="s">
        <v>48</v>
      </c>
      <c r="H497" s="4" t="s">
        <v>738</v>
      </c>
      <c r="I497" s="3"/>
    </row>
    <row r="498" ht="15.75" customHeight="1">
      <c r="A498" s="2">
        <v>500.0</v>
      </c>
      <c r="B498" s="3" t="s">
        <v>1448</v>
      </c>
      <c r="C498" s="2">
        <v>5.700540000217E12</v>
      </c>
      <c r="D498" s="3" t="s">
        <v>1449</v>
      </c>
      <c r="E498" s="3" t="s">
        <v>1450</v>
      </c>
      <c r="F498" s="3" t="s">
        <v>1451</v>
      </c>
      <c r="G498" s="3" t="s">
        <v>632</v>
      </c>
      <c r="H498" s="4" t="s">
        <v>738</v>
      </c>
      <c r="I498" s="3"/>
    </row>
    <row r="499" ht="15.75" customHeight="1">
      <c r="A499" s="2">
        <v>501.0</v>
      </c>
      <c r="B499" s="3" t="s">
        <v>1231</v>
      </c>
      <c r="C499" s="2">
        <v>5.700540000218E12</v>
      </c>
      <c r="D499" s="3" t="s">
        <v>36</v>
      </c>
      <c r="E499" s="3" t="s">
        <v>1336</v>
      </c>
      <c r="F499" s="3" t="s">
        <v>1452</v>
      </c>
      <c r="G499" s="3" t="s">
        <v>40</v>
      </c>
      <c r="H499" s="4" t="s">
        <v>738</v>
      </c>
      <c r="I499" s="3"/>
    </row>
    <row r="500" ht="15.75" customHeight="1">
      <c r="A500" s="2">
        <v>502.0</v>
      </c>
      <c r="B500" s="3" t="s">
        <v>720</v>
      </c>
      <c r="C500" s="2">
        <v>5.70054000219E11</v>
      </c>
      <c r="D500" s="3" t="s">
        <v>106</v>
      </c>
      <c r="E500" s="3" t="s">
        <v>1453</v>
      </c>
      <c r="F500" s="3" t="s">
        <v>1454</v>
      </c>
      <c r="G500" s="3" t="s">
        <v>632</v>
      </c>
      <c r="H500" s="4" t="s">
        <v>738</v>
      </c>
      <c r="I500" s="3"/>
      <c r="J500" s="3"/>
    </row>
    <row r="501" ht="15.75" customHeight="1">
      <c r="A501" s="2">
        <v>503.0</v>
      </c>
      <c r="B501" s="3" t="s">
        <v>56</v>
      </c>
      <c r="C501" s="2">
        <v>5.7005400022E11</v>
      </c>
      <c r="D501" s="3" t="s">
        <v>73</v>
      </c>
      <c r="E501" s="3" t="s">
        <v>131</v>
      </c>
      <c r="F501" s="3" t="s">
        <v>1455</v>
      </c>
      <c r="G501" s="3" t="s">
        <v>27</v>
      </c>
      <c r="H501" s="4" t="s">
        <v>738</v>
      </c>
      <c r="I501" s="3"/>
      <c r="J501" s="3"/>
    </row>
    <row r="502" ht="15.75" customHeight="1">
      <c r="A502" s="2">
        <v>504.0</v>
      </c>
      <c r="B502" s="3" t="s">
        <v>1456</v>
      </c>
      <c r="C502" s="2">
        <v>5.70054000221E11</v>
      </c>
      <c r="D502" s="3" t="s">
        <v>286</v>
      </c>
      <c r="E502" s="3" t="s">
        <v>1457</v>
      </c>
      <c r="F502" s="3" t="s">
        <v>1458</v>
      </c>
      <c r="G502" s="3" t="s">
        <v>48</v>
      </c>
      <c r="H502" s="4" t="s">
        <v>738</v>
      </c>
      <c r="I502" s="3"/>
      <c r="J502" s="3"/>
    </row>
    <row r="503" ht="15.75" customHeight="1">
      <c r="A503" s="2">
        <v>505.0</v>
      </c>
      <c r="B503" s="3" t="s">
        <v>1459</v>
      </c>
      <c r="C503" s="2">
        <v>5.70054000224E11</v>
      </c>
      <c r="D503" s="3" t="s">
        <v>1460</v>
      </c>
      <c r="E503" s="3" t="s">
        <v>1461</v>
      </c>
      <c r="F503" s="3" t="s">
        <v>1462</v>
      </c>
      <c r="G503" s="3" t="s">
        <v>48</v>
      </c>
      <c r="H503" s="4" t="s">
        <v>738</v>
      </c>
      <c r="I503" s="3"/>
      <c r="J503" s="3"/>
    </row>
    <row r="504" ht="15.75" customHeight="1">
      <c r="A504" s="2">
        <v>506.0</v>
      </c>
      <c r="B504" s="3" t="s">
        <v>91</v>
      </c>
      <c r="C504" s="2">
        <v>5.70054000225E11</v>
      </c>
      <c r="D504" s="3" t="s">
        <v>1463</v>
      </c>
      <c r="E504" s="3" t="s">
        <v>1464</v>
      </c>
      <c r="F504" s="3" t="s">
        <v>1465</v>
      </c>
      <c r="G504" s="3" t="s">
        <v>1359</v>
      </c>
      <c r="H504" s="4" t="s">
        <v>738</v>
      </c>
      <c r="I504" s="3"/>
      <c r="J504" s="3"/>
    </row>
    <row r="505" ht="15.75" customHeight="1">
      <c r="A505" s="2">
        <v>507.0</v>
      </c>
      <c r="B505" s="3" t="s">
        <v>1466</v>
      </c>
      <c r="C505" s="2">
        <v>5.70054000229E11</v>
      </c>
      <c r="D505" s="3" t="s">
        <v>193</v>
      </c>
      <c r="E505" s="3" t="s">
        <v>1467</v>
      </c>
      <c r="F505" s="3" t="s">
        <v>1468</v>
      </c>
      <c r="G505" s="3" t="s">
        <v>40</v>
      </c>
      <c r="H505" s="4" t="s">
        <v>738</v>
      </c>
      <c r="I505" s="3"/>
      <c r="J505" s="3"/>
    </row>
    <row r="506" ht="15.75" customHeight="1">
      <c r="A506" s="2">
        <v>508.0</v>
      </c>
      <c r="B506" s="3" t="s">
        <v>1469</v>
      </c>
      <c r="C506" s="2">
        <v>5.70054000232E11</v>
      </c>
      <c r="D506" s="3" t="s">
        <v>1470</v>
      </c>
      <c r="E506" s="3" t="s">
        <v>1471</v>
      </c>
      <c r="F506" s="3" t="s">
        <v>1472</v>
      </c>
      <c r="G506" s="3" t="s">
        <v>48</v>
      </c>
      <c r="H506" s="4" t="s">
        <v>738</v>
      </c>
      <c r="I506" s="3"/>
      <c r="J506" s="3"/>
    </row>
    <row r="507" ht="15.75" customHeight="1">
      <c r="A507" s="2">
        <v>509.0</v>
      </c>
      <c r="B507" s="3" t="s">
        <v>1473</v>
      </c>
      <c r="C507" s="2">
        <v>5.70054000235E11</v>
      </c>
      <c r="D507" s="3" t="s">
        <v>1474</v>
      </c>
      <c r="E507" s="3" t="s">
        <v>1124</v>
      </c>
      <c r="F507" s="3" t="s">
        <v>1475</v>
      </c>
      <c r="G507" s="3" t="s">
        <v>27</v>
      </c>
      <c r="H507" s="4" t="s">
        <v>738</v>
      </c>
      <c r="I507" s="3"/>
      <c r="J507" s="3"/>
    </row>
    <row r="508" ht="15.75" customHeight="1">
      <c r="A508" s="2">
        <v>510.0</v>
      </c>
      <c r="B508" s="3" t="s">
        <v>1221</v>
      </c>
      <c r="C508" s="2">
        <v>5.70054000236E11</v>
      </c>
      <c r="D508" s="3" t="s">
        <v>1476</v>
      </c>
      <c r="E508" s="3" t="s">
        <v>142</v>
      </c>
      <c r="F508" s="3" t="s">
        <v>1477</v>
      </c>
      <c r="G508" s="3" t="s">
        <v>48</v>
      </c>
      <c r="H508" s="4" t="s">
        <v>738</v>
      </c>
      <c r="I508" s="3"/>
      <c r="J508" s="3"/>
    </row>
    <row r="509" ht="15.75" customHeight="1">
      <c r="A509" s="2">
        <v>511.0</v>
      </c>
      <c r="B509" s="3" t="s">
        <v>1478</v>
      </c>
      <c r="C509" s="2">
        <v>5.70054000237E11</v>
      </c>
      <c r="D509" s="3" t="s">
        <v>1123</v>
      </c>
      <c r="E509" s="3" t="s">
        <v>1124</v>
      </c>
      <c r="F509" s="3" t="s">
        <v>1479</v>
      </c>
      <c r="G509" s="3" t="s">
        <v>48</v>
      </c>
      <c r="H509" s="4" t="s">
        <v>738</v>
      </c>
      <c r="I509" s="3"/>
      <c r="J509" s="3"/>
    </row>
    <row r="510" ht="15.75" customHeight="1">
      <c r="A510" s="2">
        <v>512.0</v>
      </c>
      <c r="B510" s="3" t="s">
        <v>1480</v>
      </c>
      <c r="C510" s="2">
        <v>5.70054000238E11</v>
      </c>
      <c r="D510" s="3" t="s">
        <v>1481</v>
      </c>
      <c r="E510" s="3" t="s">
        <v>1482</v>
      </c>
      <c r="F510" s="3" t="s">
        <v>1483</v>
      </c>
      <c r="G510" s="3" t="s">
        <v>20</v>
      </c>
      <c r="H510" s="4" t="s">
        <v>738</v>
      </c>
      <c r="I510" s="3"/>
      <c r="J510" s="3"/>
    </row>
    <row r="511" ht="15.75" customHeight="1">
      <c r="A511" s="2">
        <v>513.0</v>
      </c>
      <c r="B511" s="3" t="s">
        <v>1484</v>
      </c>
      <c r="C511" s="2">
        <v>5.70054000243E11</v>
      </c>
      <c r="D511" s="3" t="s">
        <v>1485</v>
      </c>
      <c r="E511" s="3" t="s">
        <v>1486</v>
      </c>
      <c r="F511" s="3" t="s">
        <v>1487</v>
      </c>
      <c r="G511" s="3" t="s">
        <v>48</v>
      </c>
      <c r="H511" s="4" t="s">
        <v>738</v>
      </c>
      <c r="I511" s="3"/>
      <c r="J511" s="3"/>
    </row>
    <row r="512" ht="15.75" customHeight="1">
      <c r="A512" s="2">
        <v>514.0</v>
      </c>
      <c r="B512" s="3" t="s">
        <v>1488</v>
      </c>
      <c r="C512" s="2">
        <v>5.70054000245E11</v>
      </c>
      <c r="D512" s="3" t="s">
        <v>1489</v>
      </c>
      <c r="E512" s="3" t="s">
        <v>556</v>
      </c>
      <c r="F512" s="3" t="s">
        <v>1490</v>
      </c>
      <c r="G512" s="3" t="s">
        <v>27</v>
      </c>
      <c r="H512" s="4" t="s">
        <v>738</v>
      </c>
      <c r="I512" s="3"/>
      <c r="J512" s="3"/>
    </row>
    <row r="513" ht="15.75" customHeight="1">
      <c r="A513" s="2">
        <v>515.0</v>
      </c>
      <c r="B513" s="3" t="s">
        <v>1491</v>
      </c>
      <c r="C513" s="2">
        <v>5.70054000247E11</v>
      </c>
      <c r="D513" s="3" t="s">
        <v>1492</v>
      </c>
      <c r="E513" s="3" t="s">
        <v>1493</v>
      </c>
      <c r="F513" s="3" t="s">
        <v>1494</v>
      </c>
      <c r="G513" s="3" t="s">
        <v>20</v>
      </c>
      <c r="H513" s="4" t="s">
        <v>738</v>
      </c>
      <c r="I513" s="3"/>
      <c r="J513" s="3"/>
    </row>
    <row r="514" ht="15.75" customHeight="1">
      <c r="A514" s="2">
        <v>516.0</v>
      </c>
      <c r="B514" s="3" t="s">
        <v>1495</v>
      </c>
      <c r="C514" s="2">
        <v>5.70054000248E11</v>
      </c>
      <c r="D514" s="3" t="s">
        <v>165</v>
      </c>
      <c r="E514" s="3" t="s">
        <v>1496</v>
      </c>
      <c r="F514" s="3" t="s">
        <v>1497</v>
      </c>
      <c r="G514" s="3" t="s">
        <v>27</v>
      </c>
      <c r="H514" s="4" t="s">
        <v>738</v>
      </c>
      <c r="I514" s="3"/>
      <c r="J514" s="3"/>
    </row>
    <row r="515" ht="15.75" customHeight="1">
      <c r="A515" s="2">
        <v>517.0</v>
      </c>
      <c r="B515" s="3" t="s">
        <v>705</v>
      </c>
      <c r="C515" s="2">
        <v>5.70054000033E11</v>
      </c>
      <c r="D515" s="3" t="s">
        <v>823</v>
      </c>
      <c r="E515" s="3" t="s">
        <v>1498</v>
      </c>
      <c r="F515" s="3" t="s">
        <v>1499</v>
      </c>
      <c r="G515" s="3" t="s">
        <v>144</v>
      </c>
      <c r="H515" s="4" t="s">
        <v>1500</v>
      </c>
      <c r="I515" s="3"/>
      <c r="J515" s="3"/>
    </row>
    <row r="516" ht="15.75" customHeight="1">
      <c r="A516" s="2">
        <v>518.0</v>
      </c>
      <c r="B516" s="3" t="s">
        <v>1501</v>
      </c>
      <c r="C516" s="2">
        <v>5.700540000251E12</v>
      </c>
      <c r="D516" s="3" t="s">
        <v>1502</v>
      </c>
      <c r="E516" s="3" t="s">
        <v>159</v>
      </c>
      <c r="F516" s="3" t="s">
        <v>1503</v>
      </c>
      <c r="G516" s="3" t="s">
        <v>48</v>
      </c>
      <c r="H516" s="4" t="s">
        <v>738</v>
      </c>
      <c r="I516" s="3"/>
      <c r="J516" s="3"/>
    </row>
    <row r="517" ht="15.75" customHeight="1">
      <c r="A517" s="2">
        <v>519.0</v>
      </c>
      <c r="B517" s="3" t="s">
        <v>1504</v>
      </c>
      <c r="C517" s="2">
        <v>5.700540000253E12</v>
      </c>
      <c r="D517" s="3" t="s">
        <v>1505</v>
      </c>
      <c r="E517" s="3" t="s">
        <v>1506</v>
      </c>
      <c r="F517" s="3" t="s">
        <v>1507</v>
      </c>
      <c r="G517" s="3" t="s">
        <v>48</v>
      </c>
      <c r="H517" s="4" t="s">
        <v>738</v>
      </c>
      <c r="I517" s="3"/>
      <c r="J517" s="3"/>
    </row>
    <row r="518" ht="15.75" customHeight="1">
      <c r="A518" s="2">
        <v>520.0</v>
      </c>
      <c r="B518" s="3" t="s">
        <v>360</v>
      </c>
      <c r="C518" s="2">
        <v>5.70054000254E11</v>
      </c>
      <c r="D518" s="3" t="s">
        <v>193</v>
      </c>
      <c r="E518" s="3" t="s">
        <v>556</v>
      </c>
      <c r="F518" s="3" t="s">
        <v>1508</v>
      </c>
      <c r="G518" s="3" t="s">
        <v>27</v>
      </c>
      <c r="H518" s="4" t="s">
        <v>738</v>
      </c>
      <c r="I518" s="3"/>
      <c r="J518" s="3"/>
    </row>
    <row r="519" ht="15.75" customHeight="1">
      <c r="A519" s="2">
        <v>521.0</v>
      </c>
      <c r="B519" s="3" t="s">
        <v>1509</v>
      </c>
      <c r="C519" s="2">
        <v>5.70054000255E11</v>
      </c>
      <c r="D519" s="3" t="s">
        <v>1510</v>
      </c>
      <c r="E519" s="3" t="s">
        <v>1511</v>
      </c>
      <c r="F519" s="3" t="s">
        <v>1512</v>
      </c>
      <c r="G519" s="3" t="s">
        <v>27</v>
      </c>
      <c r="H519" s="4" t="s">
        <v>738</v>
      </c>
      <c r="I519" s="3"/>
      <c r="J519" s="3"/>
    </row>
    <row r="520" ht="15.75" customHeight="1">
      <c r="A520" s="2">
        <v>522.0</v>
      </c>
      <c r="B520" s="3" t="s">
        <v>1513</v>
      </c>
      <c r="C520" s="2">
        <v>5.70054000258E11</v>
      </c>
      <c r="D520" s="3" t="s">
        <v>1129</v>
      </c>
      <c r="E520" s="3" t="s">
        <v>1216</v>
      </c>
      <c r="F520" s="3" t="s">
        <v>1514</v>
      </c>
      <c r="G520" s="3" t="s">
        <v>20</v>
      </c>
      <c r="H520" s="4" t="s">
        <v>738</v>
      </c>
      <c r="I520" s="3"/>
      <c r="J520" s="3"/>
    </row>
    <row r="521" ht="15.75" customHeight="1">
      <c r="A521" s="2">
        <v>523.0</v>
      </c>
      <c r="B521" s="3" t="s">
        <v>1515</v>
      </c>
      <c r="C521" s="2">
        <v>5.70054000261E11</v>
      </c>
      <c r="D521" s="3" t="s">
        <v>1516</v>
      </c>
      <c r="E521" s="3" t="s">
        <v>1517</v>
      </c>
      <c r="F521" s="3" t="s">
        <v>1518</v>
      </c>
      <c r="G521" s="3" t="s">
        <v>27</v>
      </c>
      <c r="H521" s="4" t="s">
        <v>738</v>
      </c>
      <c r="I521" s="3"/>
      <c r="J521" s="3"/>
    </row>
    <row r="522" ht="15.75" customHeight="1">
      <c r="A522" s="2">
        <v>524.0</v>
      </c>
      <c r="B522" s="3" t="s">
        <v>1519</v>
      </c>
      <c r="C522" s="2">
        <v>5.70054000263E11</v>
      </c>
      <c r="D522" s="3" t="s">
        <v>1520</v>
      </c>
      <c r="E522" s="3" t="s">
        <v>1521</v>
      </c>
      <c r="F522" s="3" t="s">
        <v>1522</v>
      </c>
      <c r="G522" s="3" t="s">
        <v>48</v>
      </c>
      <c r="H522" s="4" t="s">
        <v>738</v>
      </c>
      <c r="I522" s="3"/>
      <c r="J522" s="3"/>
    </row>
    <row r="523" ht="15.75" customHeight="1">
      <c r="A523" s="2">
        <v>525.0</v>
      </c>
      <c r="B523" s="3" t="s">
        <v>1523</v>
      </c>
      <c r="C523" s="2">
        <v>5.70054000264E11</v>
      </c>
      <c r="D523" s="3" t="s">
        <v>988</v>
      </c>
      <c r="E523" s="3" t="s">
        <v>1524</v>
      </c>
      <c r="F523" s="3" t="s">
        <v>1525</v>
      </c>
      <c r="G523" s="3" t="s">
        <v>40</v>
      </c>
      <c r="H523" s="4" t="s">
        <v>738</v>
      </c>
      <c r="I523" s="3"/>
      <c r="J523" s="3"/>
    </row>
    <row r="524" ht="15.75" customHeight="1">
      <c r="A524" s="2">
        <v>526.0</v>
      </c>
      <c r="B524" s="3" t="s">
        <v>1526</v>
      </c>
      <c r="C524" s="2">
        <v>5.70054000267E11</v>
      </c>
      <c r="D524" s="3" t="s">
        <v>952</v>
      </c>
      <c r="E524" s="3" t="s">
        <v>154</v>
      </c>
      <c r="F524" s="3" t="s">
        <v>1527</v>
      </c>
      <c r="G524" s="3" t="s">
        <v>156</v>
      </c>
      <c r="H524" s="4" t="s">
        <v>738</v>
      </c>
      <c r="I524" s="3"/>
      <c r="J524" s="3"/>
    </row>
    <row r="525" ht="15.75" customHeight="1">
      <c r="A525" s="2">
        <v>527.0</v>
      </c>
      <c r="B525" s="3" t="s">
        <v>1528</v>
      </c>
      <c r="C525" s="2">
        <v>5.70054000268E11</v>
      </c>
      <c r="D525" s="3" t="s">
        <v>988</v>
      </c>
      <c r="E525" s="3" t="s">
        <v>1529</v>
      </c>
      <c r="F525" s="3" t="s">
        <v>1530</v>
      </c>
      <c r="G525" s="3" t="s">
        <v>48</v>
      </c>
      <c r="H525" s="4" t="s">
        <v>738</v>
      </c>
      <c r="I525" s="3"/>
      <c r="J525" s="3"/>
    </row>
    <row r="526" ht="15.75" customHeight="1">
      <c r="A526" s="2">
        <v>528.0</v>
      </c>
      <c r="B526" s="3" t="s">
        <v>432</v>
      </c>
      <c r="C526" s="2">
        <v>5.7005400027E11</v>
      </c>
      <c r="D526" s="3" t="s">
        <v>1531</v>
      </c>
      <c r="E526" s="3" t="s">
        <v>1532</v>
      </c>
      <c r="F526" s="3" t="s">
        <v>1533</v>
      </c>
      <c r="G526" s="3" t="s">
        <v>27</v>
      </c>
      <c r="H526" s="4" t="s">
        <v>738</v>
      </c>
      <c r="I526" s="3"/>
      <c r="J526" s="3"/>
    </row>
    <row r="527" ht="15.75" customHeight="1">
      <c r="A527" s="2">
        <v>529.0</v>
      </c>
      <c r="B527" s="3" t="s">
        <v>1534</v>
      </c>
      <c r="C527" s="2">
        <v>5.70054000271E11</v>
      </c>
      <c r="D527" s="3" t="s">
        <v>1535</v>
      </c>
      <c r="E527" s="3" t="s">
        <v>707</v>
      </c>
      <c r="F527" s="3" t="s">
        <v>1536</v>
      </c>
      <c r="G527" s="3" t="s">
        <v>20</v>
      </c>
      <c r="H527" s="4" t="s">
        <v>738</v>
      </c>
      <c r="I527" s="3"/>
      <c r="J527" s="3"/>
    </row>
    <row r="528" ht="15.75" customHeight="1">
      <c r="A528" s="2">
        <v>530.0</v>
      </c>
      <c r="B528" s="3" t="s">
        <v>1537</v>
      </c>
      <c r="C528" s="2">
        <v>5.70054000273E11</v>
      </c>
      <c r="D528" s="3" t="s">
        <v>1538</v>
      </c>
      <c r="E528" s="3" t="s">
        <v>1539</v>
      </c>
      <c r="F528" s="3" t="s">
        <v>1540</v>
      </c>
      <c r="G528" s="3" t="s">
        <v>27</v>
      </c>
      <c r="H528" s="4" t="s">
        <v>738</v>
      </c>
      <c r="I528" s="3"/>
      <c r="J528" s="3"/>
    </row>
    <row r="529" ht="15.75" customHeight="1">
      <c r="A529" s="2">
        <v>531.0</v>
      </c>
      <c r="B529" s="3" t="s">
        <v>1541</v>
      </c>
      <c r="C529" s="2">
        <v>5.70054000274E11</v>
      </c>
      <c r="D529" s="3" t="s">
        <v>1542</v>
      </c>
      <c r="E529" s="3" t="s">
        <v>1543</v>
      </c>
      <c r="F529" s="3" t="s">
        <v>1544</v>
      </c>
      <c r="G529" s="3" t="s">
        <v>27</v>
      </c>
      <c r="H529" s="4" t="s">
        <v>738</v>
      </c>
      <c r="I529" s="3"/>
      <c r="J529" s="3"/>
    </row>
    <row r="530" ht="15.75" customHeight="1">
      <c r="A530" s="2">
        <v>532.0</v>
      </c>
      <c r="B530" s="3" t="s">
        <v>533</v>
      </c>
      <c r="C530" s="2">
        <v>5.70054000277E11</v>
      </c>
      <c r="D530" s="3" t="s">
        <v>823</v>
      </c>
      <c r="E530" s="3" t="s">
        <v>1545</v>
      </c>
      <c r="F530" s="3" t="s">
        <v>1546</v>
      </c>
      <c r="G530" s="3" t="s">
        <v>48</v>
      </c>
      <c r="H530" s="4" t="s">
        <v>738</v>
      </c>
      <c r="I530" s="3"/>
      <c r="J530" s="3"/>
    </row>
    <row r="531" ht="15.75" customHeight="1">
      <c r="A531" s="2">
        <v>533.0</v>
      </c>
      <c r="B531" s="3" t="s">
        <v>1547</v>
      </c>
      <c r="C531" s="2">
        <v>5.70054000278E11</v>
      </c>
      <c r="D531" s="3" t="s">
        <v>1548</v>
      </c>
      <c r="E531" s="3" t="s">
        <v>1549</v>
      </c>
      <c r="F531" s="3" t="s">
        <v>1550</v>
      </c>
      <c r="G531" s="3" t="s">
        <v>48</v>
      </c>
      <c r="H531" s="4" t="s">
        <v>738</v>
      </c>
      <c r="I531" s="3"/>
      <c r="J531" s="3"/>
    </row>
    <row r="532" ht="15.75" customHeight="1">
      <c r="A532" s="2">
        <v>534.0</v>
      </c>
      <c r="B532" s="3" t="s">
        <v>1551</v>
      </c>
      <c r="C532" s="2">
        <v>5.70054000279E11</v>
      </c>
      <c r="D532" s="3" t="s">
        <v>227</v>
      </c>
      <c r="E532" s="3" t="s">
        <v>1552</v>
      </c>
      <c r="F532" s="3" t="s">
        <v>1553</v>
      </c>
      <c r="G532" s="3" t="s">
        <v>27</v>
      </c>
      <c r="H532" s="4" t="s">
        <v>738</v>
      </c>
      <c r="I532" s="3"/>
      <c r="J532" s="3"/>
    </row>
    <row r="533" ht="15.75" customHeight="1">
      <c r="A533" s="2">
        <v>535.0</v>
      </c>
      <c r="B533" s="3" t="s">
        <v>1554</v>
      </c>
      <c r="C533" s="2">
        <v>5.7005400028E11</v>
      </c>
      <c r="D533" s="3" t="s">
        <v>1335</v>
      </c>
      <c r="E533" s="3" t="s">
        <v>1555</v>
      </c>
      <c r="F533" s="3" t="s">
        <v>1556</v>
      </c>
      <c r="G533" s="3" t="s">
        <v>48</v>
      </c>
      <c r="H533" s="4" t="s">
        <v>738</v>
      </c>
      <c r="I533" s="3"/>
      <c r="J533" s="3"/>
    </row>
    <row r="534" ht="15.75" customHeight="1">
      <c r="A534" s="2">
        <v>536.0</v>
      </c>
      <c r="B534" s="3" t="s">
        <v>1557</v>
      </c>
      <c r="C534" s="2">
        <v>5.70054000282E11</v>
      </c>
      <c r="D534" s="3" t="s">
        <v>1558</v>
      </c>
      <c r="E534" s="3" t="s">
        <v>1559</v>
      </c>
      <c r="F534" s="3" t="s">
        <v>1553</v>
      </c>
      <c r="G534" s="3" t="s">
        <v>48</v>
      </c>
      <c r="H534" s="4" t="s">
        <v>738</v>
      </c>
      <c r="I534" s="3"/>
      <c r="J534" s="3"/>
    </row>
    <row r="535" ht="15.75" customHeight="1">
      <c r="A535" s="2">
        <v>537.0</v>
      </c>
      <c r="B535" s="3" t="s">
        <v>1560</v>
      </c>
      <c r="C535" s="2">
        <v>5.70054000283E11</v>
      </c>
      <c r="D535" s="3" t="s">
        <v>1561</v>
      </c>
      <c r="E535" s="3" t="s">
        <v>1562</v>
      </c>
      <c r="F535" s="3" t="s">
        <v>1563</v>
      </c>
      <c r="G535" s="3" t="s">
        <v>48</v>
      </c>
      <c r="H535" s="4" t="s">
        <v>738</v>
      </c>
      <c r="I535" s="3"/>
      <c r="J535" s="3"/>
    </row>
    <row r="536" ht="15.75" customHeight="1">
      <c r="A536" s="2">
        <v>538.0</v>
      </c>
      <c r="B536" s="3" t="s">
        <v>1564</v>
      </c>
      <c r="C536" s="2">
        <v>5.70054000286E11</v>
      </c>
      <c r="D536" s="3" t="s">
        <v>296</v>
      </c>
      <c r="E536" s="3" t="s">
        <v>1565</v>
      </c>
      <c r="F536" s="3" t="s">
        <v>1553</v>
      </c>
      <c r="G536" s="3" t="s">
        <v>27</v>
      </c>
      <c r="H536" s="4" t="s">
        <v>738</v>
      </c>
      <c r="I536" s="3"/>
      <c r="J536" s="3"/>
    </row>
    <row r="537" ht="15.75" customHeight="1">
      <c r="A537" s="2">
        <v>539.0</v>
      </c>
      <c r="B537" s="3" t="s">
        <v>1095</v>
      </c>
      <c r="C537" s="2">
        <v>5.70054000292E11</v>
      </c>
      <c r="D537" s="3" t="s">
        <v>550</v>
      </c>
      <c r="E537" s="3" t="s">
        <v>1566</v>
      </c>
      <c r="F537" s="3" t="s">
        <v>1567</v>
      </c>
      <c r="G537" s="3" t="s">
        <v>48</v>
      </c>
      <c r="H537" s="4" t="s">
        <v>738</v>
      </c>
      <c r="I537" s="3"/>
      <c r="J537" s="3"/>
    </row>
    <row r="538" ht="15.75" customHeight="1">
      <c r="A538" s="2">
        <v>540.0</v>
      </c>
      <c r="B538" s="3" t="s">
        <v>1568</v>
      </c>
      <c r="C538" s="2">
        <v>5.70054000287E11</v>
      </c>
      <c r="D538" s="3" t="s">
        <v>1569</v>
      </c>
      <c r="E538" s="3" t="s">
        <v>1570</v>
      </c>
      <c r="F538" s="3" t="s">
        <v>1571</v>
      </c>
      <c r="G538" s="3" t="s">
        <v>48</v>
      </c>
      <c r="H538" s="4" t="s">
        <v>1572</v>
      </c>
      <c r="I538" s="3"/>
      <c r="J538" s="3"/>
    </row>
    <row r="539" ht="15.75" customHeight="1">
      <c r="A539" s="2">
        <v>541.0</v>
      </c>
      <c r="B539" s="3" t="s">
        <v>1573</v>
      </c>
      <c r="C539" s="2">
        <v>5.70054000288E11</v>
      </c>
      <c r="D539" s="3" t="s">
        <v>486</v>
      </c>
      <c r="E539" s="3" t="s">
        <v>1574</v>
      </c>
      <c r="F539" s="3" t="s">
        <v>1575</v>
      </c>
      <c r="G539" s="3" t="s">
        <v>27</v>
      </c>
      <c r="H539" s="4" t="s">
        <v>1576</v>
      </c>
      <c r="I539" s="3"/>
      <c r="J539" s="3"/>
    </row>
    <row r="540" ht="15.75" customHeight="1">
      <c r="A540" s="5">
        <v>542.0</v>
      </c>
      <c r="B540" s="3" t="s">
        <v>1577</v>
      </c>
      <c r="C540" s="2">
        <v>5.70054000292E11</v>
      </c>
      <c r="D540" s="3" t="s">
        <v>1578</v>
      </c>
      <c r="E540" s="3" t="s">
        <v>1579</v>
      </c>
      <c r="F540" s="3" t="s">
        <v>1580</v>
      </c>
      <c r="G540" s="3" t="s">
        <v>48</v>
      </c>
      <c r="H540" s="4" t="s">
        <v>1581</v>
      </c>
      <c r="I540" s="3"/>
      <c r="J540" s="3"/>
    </row>
    <row r="541" ht="15.75" customHeight="1">
      <c r="A541" s="2">
        <v>543.0</v>
      </c>
      <c r="B541" s="3" t="s">
        <v>1582</v>
      </c>
      <c r="C541" s="2">
        <v>5.70054000293E11</v>
      </c>
      <c r="D541" s="3" t="s">
        <v>1583</v>
      </c>
      <c r="E541" s="3" t="s">
        <v>423</v>
      </c>
      <c r="F541" s="3" t="s">
        <v>1584</v>
      </c>
      <c r="G541" s="3" t="s">
        <v>27</v>
      </c>
      <c r="H541" s="4" t="s">
        <v>1585</v>
      </c>
      <c r="I541" s="3"/>
      <c r="J541" s="3"/>
    </row>
    <row r="542" ht="15.75" customHeight="1">
      <c r="A542" s="2">
        <v>544.0</v>
      </c>
      <c r="B542" s="3" t="s">
        <v>1586</v>
      </c>
      <c r="C542" s="2">
        <v>5.70054000295E11</v>
      </c>
      <c r="D542" s="3" t="s">
        <v>1587</v>
      </c>
      <c r="E542" s="3" t="s">
        <v>1588</v>
      </c>
      <c r="F542" s="3" t="s">
        <v>1589</v>
      </c>
      <c r="G542" s="3" t="s">
        <v>27</v>
      </c>
      <c r="H542" s="4" t="s">
        <v>1572</v>
      </c>
      <c r="I542" s="3"/>
      <c r="J542" s="3"/>
    </row>
    <row r="543" ht="15.75" customHeight="1">
      <c r="A543" s="2">
        <v>545.0</v>
      </c>
      <c r="B543" s="3" t="s">
        <v>1590</v>
      </c>
      <c r="C543" s="2">
        <v>5.70054000298E11</v>
      </c>
      <c r="D543" s="3" t="s">
        <v>141</v>
      </c>
      <c r="E543" s="3" t="s">
        <v>1591</v>
      </c>
      <c r="F543" s="3" t="s">
        <v>1592</v>
      </c>
      <c r="G543" s="3" t="s">
        <v>27</v>
      </c>
      <c r="H543" s="4" t="s">
        <v>1572</v>
      </c>
      <c r="I543" s="3"/>
      <c r="J543" s="3"/>
    </row>
    <row r="544" ht="15.75" customHeight="1">
      <c r="A544" s="2">
        <v>546.0</v>
      </c>
      <c r="B544" s="3" t="s">
        <v>1593</v>
      </c>
      <c r="C544" s="2">
        <v>5.70054000299E11</v>
      </c>
      <c r="D544" s="3" t="s">
        <v>1594</v>
      </c>
      <c r="E544" s="3" t="s">
        <v>1595</v>
      </c>
      <c r="F544" s="3" t="s">
        <v>1596</v>
      </c>
      <c r="G544" s="3" t="s">
        <v>1359</v>
      </c>
      <c r="H544" s="4" t="s">
        <v>1572</v>
      </c>
      <c r="I544" s="3"/>
      <c r="J544" s="3"/>
    </row>
    <row r="545" ht="15.75" customHeight="1">
      <c r="A545" s="2">
        <v>547.0</v>
      </c>
      <c r="B545" s="3" t="s">
        <v>342</v>
      </c>
      <c r="C545" s="2">
        <v>5.7005400003E12</v>
      </c>
      <c r="D545" s="3" t="s">
        <v>157</v>
      </c>
      <c r="E545" s="3" t="s">
        <v>565</v>
      </c>
      <c r="F545" s="3" t="s">
        <v>1597</v>
      </c>
      <c r="G545" s="3" t="s">
        <v>20</v>
      </c>
      <c r="H545" s="4" t="s">
        <v>738</v>
      </c>
      <c r="I545" s="3"/>
      <c r="J545" s="3"/>
    </row>
    <row r="546" ht="15.75" customHeight="1">
      <c r="A546" s="2">
        <v>548.0</v>
      </c>
      <c r="B546" s="3" t="s">
        <v>1598</v>
      </c>
      <c r="C546" s="2">
        <v>5.700540000304E12</v>
      </c>
      <c r="D546" s="3" t="s">
        <v>1599</v>
      </c>
      <c r="E546" s="3" t="s">
        <v>1600</v>
      </c>
      <c r="F546" s="3" t="s">
        <v>1368</v>
      </c>
      <c r="G546" s="3" t="s">
        <v>40</v>
      </c>
      <c r="H546" s="4" t="s">
        <v>1601</v>
      </c>
      <c r="I546" s="3"/>
      <c r="J546" s="3"/>
    </row>
    <row r="547" ht="15.75" customHeight="1">
      <c r="A547" s="2">
        <v>549.0</v>
      </c>
      <c r="B547" s="3" t="s">
        <v>1602</v>
      </c>
      <c r="C547" s="2">
        <v>5.700540000306E12</v>
      </c>
      <c r="D547" s="3" t="s">
        <v>157</v>
      </c>
      <c r="E547" s="3" t="s">
        <v>565</v>
      </c>
      <c r="F547" s="3" t="s">
        <v>1603</v>
      </c>
      <c r="G547" s="3" t="s">
        <v>48</v>
      </c>
      <c r="H547" s="4" t="s">
        <v>1572</v>
      </c>
      <c r="I547" s="3"/>
      <c r="J547" s="3"/>
    </row>
    <row r="548" ht="15.75" customHeight="1">
      <c r="A548" s="2">
        <v>550.0</v>
      </c>
      <c r="B548" s="3" t="s">
        <v>1604</v>
      </c>
      <c r="C548" s="2">
        <v>5.700540000308E12</v>
      </c>
      <c r="D548" s="3" t="s">
        <v>1605</v>
      </c>
      <c r="E548" s="3" t="s">
        <v>1606</v>
      </c>
      <c r="F548" s="3" t="s">
        <v>1607</v>
      </c>
      <c r="G548" s="3" t="s">
        <v>27</v>
      </c>
      <c r="H548" s="4" t="s">
        <v>1585</v>
      </c>
      <c r="I548" s="3"/>
      <c r="J548" s="3"/>
    </row>
    <row r="549" ht="15.75" customHeight="1">
      <c r="A549" s="2">
        <v>551.0</v>
      </c>
      <c r="B549" s="3" t="s">
        <v>1608</v>
      </c>
      <c r="C549" s="2">
        <v>5.70054000031E12</v>
      </c>
      <c r="D549" s="3" t="s">
        <v>1609</v>
      </c>
      <c r="E549" s="3" t="s">
        <v>1610</v>
      </c>
      <c r="F549" s="3" t="s">
        <v>1611</v>
      </c>
      <c r="G549" s="3" t="s">
        <v>48</v>
      </c>
      <c r="H549" s="4" t="s">
        <v>1576</v>
      </c>
      <c r="I549" s="3"/>
      <c r="J549" s="3"/>
    </row>
    <row r="550" ht="15.75" customHeight="1">
      <c r="A550" s="2">
        <v>552.0</v>
      </c>
      <c r="B550" s="3" t="s">
        <v>1612</v>
      </c>
      <c r="C550" s="2">
        <v>5.700540000311E12</v>
      </c>
      <c r="D550" s="3" t="s">
        <v>1613</v>
      </c>
      <c r="E550" s="3" t="s">
        <v>1614</v>
      </c>
      <c r="F550" s="3" t="s">
        <v>1615</v>
      </c>
      <c r="G550" s="3" t="s">
        <v>27</v>
      </c>
      <c r="H550" s="4" t="s">
        <v>738</v>
      </c>
      <c r="I550" s="3"/>
      <c r="J550" s="3"/>
    </row>
    <row r="551" ht="15.75" customHeight="1">
      <c r="A551" s="2">
        <v>553.0</v>
      </c>
      <c r="B551" s="3" t="s">
        <v>1616</v>
      </c>
      <c r="C551" s="2">
        <v>5.700540000312E12</v>
      </c>
      <c r="D551" s="3" t="s">
        <v>1410</v>
      </c>
      <c r="E551" s="3" t="s">
        <v>1617</v>
      </c>
      <c r="F551" s="3" t="s">
        <v>1618</v>
      </c>
      <c r="G551" s="3" t="s">
        <v>48</v>
      </c>
      <c r="H551" s="4" t="s">
        <v>738</v>
      </c>
      <c r="I551" s="3"/>
      <c r="J551" s="3"/>
    </row>
    <row r="552" ht="15.75" customHeight="1">
      <c r="A552" s="2">
        <v>554.0</v>
      </c>
      <c r="B552" s="3" t="s">
        <v>1619</v>
      </c>
      <c r="C552" s="2">
        <v>5.700540000313E12</v>
      </c>
      <c r="D552" s="3" t="s">
        <v>1022</v>
      </c>
      <c r="E552" s="3" t="s">
        <v>1620</v>
      </c>
      <c r="F552" s="3" t="s">
        <v>1621</v>
      </c>
      <c r="G552" s="3" t="s">
        <v>1359</v>
      </c>
      <c r="H552" s="4" t="s">
        <v>738</v>
      </c>
      <c r="I552" s="3"/>
      <c r="J552" s="3"/>
    </row>
    <row r="553" ht="15.75" customHeight="1">
      <c r="A553" s="2">
        <v>555.0</v>
      </c>
      <c r="B553" s="3" t="s">
        <v>1622</v>
      </c>
      <c r="C553" s="2">
        <v>5.700540000109E12</v>
      </c>
      <c r="D553" s="3" t="s">
        <v>1623</v>
      </c>
      <c r="E553" s="3" t="s">
        <v>1373</v>
      </c>
      <c r="F553" s="3" t="s">
        <v>1624</v>
      </c>
      <c r="G553" s="3" t="s">
        <v>1359</v>
      </c>
      <c r="H553" s="4" t="s">
        <v>1625</v>
      </c>
      <c r="I553" s="3"/>
      <c r="J553" s="3"/>
    </row>
    <row r="554" ht="15.75" customHeight="1">
      <c r="A554" s="2">
        <v>556.0</v>
      </c>
      <c r="B554" s="3" t="s">
        <v>1626</v>
      </c>
      <c r="C554" s="2">
        <v>5.700540000315E12</v>
      </c>
      <c r="D554" s="3" t="s">
        <v>1627</v>
      </c>
      <c r="E554" s="3" t="s">
        <v>1628</v>
      </c>
      <c r="F554" s="3" t="s">
        <v>1629</v>
      </c>
      <c r="G554" s="3" t="s">
        <v>48</v>
      </c>
      <c r="H554" s="4" t="s">
        <v>738</v>
      </c>
      <c r="I554" s="3"/>
      <c r="J554" s="3"/>
    </row>
    <row r="555" ht="15.75" customHeight="1">
      <c r="A555" s="2">
        <v>557.0</v>
      </c>
      <c r="B555" s="3" t="s">
        <v>1630</v>
      </c>
      <c r="C555" s="2">
        <v>5.700540000316E12</v>
      </c>
      <c r="D555" s="3" t="s">
        <v>36</v>
      </c>
      <c r="E555" s="3" t="s">
        <v>1631</v>
      </c>
      <c r="F555" s="3" t="s">
        <v>1632</v>
      </c>
      <c r="G555" s="3" t="s">
        <v>632</v>
      </c>
      <c r="H555" s="4" t="s">
        <v>738</v>
      </c>
      <c r="I555" s="3"/>
      <c r="J555" s="3"/>
    </row>
    <row r="556" ht="15.75" customHeight="1">
      <c r="A556" s="2">
        <v>558.0</v>
      </c>
      <c r="B556" s="3" t="s">
        <v>1633</v>
      </c>
      <c r="C556" s="2">
        <v>5.700540000318E12</v>
      </c>
      <c r="D556" s="3" t="s">
        <v>130</v>
      </c>
      <c r="E556" s="3" t="s">
        <v>1634</v>
      </c>
      <c r="F556" s="3" t="s">
        <v>1635</v>
      </c>
      <c r="G556" s="3" t="s">
        <v>27</v>
      </c>
      <c r="H556" s="4" t="s">
        <v>738</v>
      </c>
      <c r="I556" s="3"/>
      <c r="J556" s="3"/>
    </row>
    <row r="557" ht="15.75" customHeight="1">
      <c r="A557" s="2">
        <v>559.0</v>
      </c>
      <c r="B557" s="3" t="s">
        <v>720</v>
      </c>
      <c r="C557" s="2">
        <v>5.700540000319E12</v>
      </c>
      <c r="D557" s="3" t="s">
        <v>366</v>
      </c>
      <c r="E557" s="3" t="s">
        <v>989</v>
      </c>
      <c r="F557" s="3" t="s">
        <v>1636</v>
      </c>
      <c r="G557" s="3" t="s">
        <v>27</v>
      </c>
      <c r="H557" s="4" t="s">
        <v>738</v>
      </c>
      <c r="I557" s="3"/>
      <c r="J557" s="3"/>
    </row>
    <row r="558" ht="15.75" customHeight="1">
      <c r="A558" s="2">
        <v>560.0</v>
      </c>
      <c r="B558" s="3" t="s">
        <v>1097</v>
      </c>
      <c r="C558" s="2">
        <v>5.70054000032E12</v>
      </c>
      <c r="D558" s="3" t="s">
        <v>1637</v>
      </c>
      <c r="E558" s="3" t="s">
        <v>1638</v>
      </c>
      <c r="F558" s="3" t="s">
        <v>1639</v>
      </c>
      <c r="G558" s="3" t="s">
        <v>27</v>
      </c>
      <c r="H558" s="4" t="s">
        <v>738</v>
      </c>
      <c r="I558" s="3"/>
      <c r="J558" s="3"/>
    </row>
    <row r="559" ht="15.75" customHeight="1">
      <c r="A559" s="2">
        <v>561.0</v>
      </c>
      <c r="B559" s="3" t="s">
        <v>1640</v>
      </c>
      <c r="C559" s="2">
        <v>5.700540000321E12</v>
      </c>
      <c r="D559" s="3" t="s">
        <v>1641</v>
      </c>
      <c r="E559" s="3" t="s">
        <v>1642</v>
      </c>
      <c r="F559" s="3" t="s">
        <v>1643</v>
      </c>
      <c r="G559" s="3" t="s">
        <v>632</v>
      </c>
      <c r="H559" s="4" t="s">
        <v>738</v>
      </c>
      <c r="I559" s="3"/>
      <c r="J559" s="3"/>
    </row>
    <row r="560" ht="15.75" customHeight="1">
      <c r="A560" s="2">
        <v>562.0</v>
      </c>
      <c r="B560" s="3" t="s">
        <v>1644</v>
      </c>
      <c r="C560" s="2">
        <v>5.700540000323E12</v>
      </c>
      <c r="D560" s="3" t="s">
        <v>1645</v>
      </c>
      <c r="E560" s="3" t="s">
        <v>1646</v>
      </c>
      <c r="F560" s="3" t="s">
        <v>1647</v>
      </c>
      <c r="G560" s="3" t="s">
        <v>48</v>
      </c>
      <c r="H560" s="4" t="s">
        <v>738</v>
      </c>
      <c r="I560" s="3"/>
      <c r="J560" s="3"/>
    </row>
    <row r="561" ht="15.75" customHeight="1">
      <c r="A561" s="2">
        <v>563.0</v>
      </c>
      <c r="B561" s="3" t="s">
        <v>1648</v>
      </c>
      <c r="C561" s="2">
        <v>5.700540000325E12</v>
      </c>
      <c r="D561" s="3" t="s">
        <v>1649</v>
      </c>
      <c r="E561" s="3" t="s">
        <v>1650</v>
      </c>
      <c r="F561" s="3" t="s">
        <v>1651</v>
      </c>
      <c r="G561" s="3" t="s">
        <v>1359</v>
      </c>
      <c r="H561" s="4" t="s">
        <v>738</v>
      </c>
      <c r="I561" s="3"/>
      <c r="J561" s="3"/>
    </row>
    <row r="562" ht="15.75" customHeight="1">
      <c r="A562" s="2">
        <v>564.0</v>
      </c>
      <c r="B562" s="3" t="s">
        <v>1652</v>
      </c>
      <c r="C562" s="2">
        <v>5.700540000326E12</v>
      </c>
      <c r="D562" s="3" t="s">
        <v>1653</v>
      </c>
      <c r="E562" s="3" t="s">
        <v>1654</v>
      </c>
      <c r="F562" s="3" t="s">
        <v>1655</v>
      </c>
      <c r="G562" s="3" t="s">
        <v>48</v>
      </c>
      <c r="H562" s="4" t="s">
        <v>738</v>
      </c>
      <c r="I562" s="3"/>
      <c r="J562" s="3"/>
    </row>
    <row r="563" ht="15.75" customHeight="1">
      <c r="A563" s="2">
        <v>565.0</v>
      </c>
      <c r="B563" s="3" t="s">
        <v>1656</v>
      </c>
      <c r="C563" s="2">
        <v>5.700540000329E12</v>
      </c>
      <c r="D563" s="3" t="s">
        <v>78</v>
      </c>
      <c r="E563" s="3" t="s">
        <v>1386</v>
      </c>
      <c r="F563" s="3" t="s">
        <v>1553</v>
      </c>
      <c r="G563" s="3" t="s">
        <v>48</v>
      </c>
      <c r="H563" s="4" t="s">
        <v>738</v>
      </c>
      <c r="I563" s="3"/>
      <c r="J563" s="3"/>
    </row>
    <row r="564" ht="15.75" customHeight="1">
      <c r="A564" s="2">
        <v>566.0</v>
      </c>
      <c r="B564" s="3" t="s">
        <v>1657</v>
      </c>
      <c r="C564" s="2">
        <v>5.700540000332E12</v>
      </c>
      <c r="D564" s="3" t="s">
        <v>954</v>
      </c>
      <c r="E564" s="3" t="s">
        <v>1658</v>
      </c>
      <c r="F564" s="3" t="s">
        <v>1659</v>
      </c>
      <c r="G564" s="3" t="s">
        <v>20</v>
      </c>
      <c r="H564" s="4" t="s">
        <v>738</v>
      </c>
      <c r="I564" s="3"/>
      <c r="J564" s="3"/>
    </row>
    <row r="565" ht="15.75" customHeight="1">
      <c r="A565" s="2">
        <v>567.0</v>
      </c>
      <c r="B565" s="3" t="s">
        <v>1660</v>
      </c>
      <c r="C565" s="2">
        <v>5.700540000337E12</v>
      </c>
      <c r="D565" s="3" t="s">
        <v>1661</v>
      </c>
      <c r="E565" s="3" t="s">
        <v>1662</v>
      </c>
      <c r="F565" s="3" t="s">
        <v>1663</v>
      </c>
      <c r="G565" s="3" t="s">
        <v>48</v>
      </c>
      <c r="H565" s="4" t="s">
        <v>738</v>
      </c>
      <c r="I565" s="3"/>
      <c r="J565" s="3"/>
    </row>
    <row r="566" ht="15.75" customHeight="1">
      <c r="A566" s="2">
        <v>568.0</v>
      </c>
      <c r="B566" s="3" t="s">
        <v>1664</v>
      </c>
      <c r="C566" s="2">
        <v>5.700540000338E12</v>
      </c>
      <c r="D566" s="3" t="s">
        <v>300</v>
      </c>
      <c r="E566" s="3" t="s">
        <v>1665</v>
      </c>
      <c r="F566" s="3" t="s">
        <v>1666</v>
      </c>
      <c r="G566" s="3" t="s">
        <v>27</v>
      </c>
      <c r="H566" s="4" t="s">
        <v>738</v>
      </c>
      <c r="I566" s="3"/>
      <c r="J566" s="3"/>
    </row>
    <row r="567" ht="15.75" customHeight="1">
      <c r="A567" s="2">
        <v>569.0</v>
      </c>
      <c r="B567" s="3" t="s">
        <v>1667</v>
      </c>
      <c r="C567" s="2">
        <v>5.700540000346E12</v>
      </c>
      <c r="D567" s="3" t="s">
        <v>913</v>
      </c>
      <c r="E567" s="3" t="s">
        <v>1230</v>
      </c>
      <c r="F567" s="3" t="s">
        <v>1668</v>
      </c>
      <c r="G567" s="3" t="s">
        <v>144</v>
      </c>
      <c r="H567" s="4" t="s">
        <v>738</v>
      </c>
      <c r="I567" s="3"/>
      <c r="J567" s="3"/>
    </row>
    <row r="568" ht="15.75" customHeight="1">
      <c r="A568" s="2">
        <v>570.0</v>
      </c>
      <c r="B568" s="3" t="s">
        <v>1669</v>
      </c>
      <c r="C568" s="2">
        <v>5.700540000349E12</v>
      </c>
      <c r="D568" s="3" t="s">
        <v>293</v>
      </c>
      <c r="E568" s="3" t="s">
        <v>1268</v>
      </c>
      <c r="F568" s="3" t="s">
        <v>1670</v>
      </c>
      <c r="G568" s="3" t="s">
        <v>48</v>
      </c>
      <c r="H568" s="4" t="s">
        <v>738</v>
      </c>
      <c r="I568" s="3"/>
      <c r="J568" s="3"/>
    </row>
    <row r="569" ht="15.75" customHeight="1">
      <c r="A569" s="2">
        <v>571.0</v>
      </c>
      <c r="B569" s="3" t="s">
        <v>1671</v>
      </c>
      <c r="C569" s="2">
        <v>5.70054000035E12</v>
      </c>
      <c r="D569" s="3" t="s">
        <v>9</v>
      </c>
      <c r="E569" s="3" t="s">
        <v>1672</v>
      </c>
      <c r="F569" s="3" t="s">
        <v>1673</v>
      </c>
      <c r="G569" s="3" t="s">
        <v>20</v>
      </c>
      <c r="H569" s="4" t="s">
        <v>738</v>
      </c>
      <c r="I569" s="3"/>
      <c r="J569" s="3"/>
    </row>
    <row r="570" ht="15.75" customHeight="1">
      <c r="A570" s="2">
        <v>572.0</v>
      </c>
      <c r="B570" s="3" t="s">
        <v>1674</v>
      </c>
      <c r="C570" s="2">
        <v>5.700540000351E12</v>
      </c>
      <c r="D570" s="3" t="s">
        <v>1675</v>
      </c>
      <c r="E570" s="3" t="s">
        <v>1676</v>
      </c>
      <c r="F570" s="3" t="s">
        <v>1677</v>
      </c>
      <c r="G570" s="3" t="s">
        <v>48</v>
      </c>
      <c r="H570" s="4" t="s">
        <v>738</v>
      </c>
      <c r="I570" s="3"/>
      <c r="J570" s="3"/>
    </row>
    <row r="571" ht="15.75" customHeight="1">
      <c r="A571" s="2">
        <v>573.0</v>
      </c>
      <c r="B571" s="3" t="s">
        <v>1678</v>
      </c>
      <c r="C571" s="2">
        <v>5.700540000352E12</v>
      </c>
      <c r="D571" s="3" t="s">
        <v>376</v>
      </c>
      <c r="E571" s="3" t="s">
        <v>1679</v>
      </c>
      <c r="F571" s="3" t="s">
        <v>1680</v>
      </c>
      <c r="G571" s="3" t="s">
        <v>48</v>
      </c>
      <c r="H571" s="4" t="s">
        <v>738</v>
      </c>
      <c r="I571" s="3"/>
      <c r="J571" s="3"/>
    </row>
    <row r="572" ht="15.75" customHeight="1">
      <c r="A572" s="2">
        <v>574.0</v>
      </c>
      <c r="B572" s="3" t="s">
        <v>1681</v>
      </c>
      <c r="C572" s="2">
        <v>5.700540000355E12</v>
      </c>
      <c r="D572" s="3" t="s">
        <v>1682</v>
      </c>
      <c r="E572" s="3" t="s">
        <v>1683</v>
      </c>
      <c r="F572" s="3" t="s">
        <v>1684</v>
      </c>
      <c r="G572" s="3" t="s">
        <v>27</v>
      </c>
      <c r="H572" s="4" t="s">
        <v>738</v>
      </c>
      <c r="I572" s="3"/>
      <c r="J572" s="3"/>
    </row>
    <row r="573" ht="15.75" customHeight="1">
      <c r="A573" s="2">
        <v>575.0</v>
      </c>
      <c r="B573" s="3" t="s">
        <v>1685</v>
      </c>
      <c r="C573" s="2">
        <v>5.700540000356E12</v>
      </c>
      <c r="D573" s="3" t="s">
        <v>687</v>
      </c>
      <c r="E573" s="3" t="s">
        <v>1686</v>
      </c>
      <c r="F573" s="3" t="s">
        <v>1687</v>
      </c>
      <c r="G573" s="3" t="s">
        <v>48</v>
      </c>
      <c r="H573" s="4" t="s">
        <v>738</v>
      </c>
      <c r="I573" s="3"/>
      <c r="J573" s="3"/>
    </row>
    <row r="574" ht="15.75" customHeight="1">
      <c r="A574" s="2">
        <v>576.0</v>
      </c>
      <c r="B574" s="3" t="s">
        <v>1688</v>
      </c>
      <c r="C574" s="2">
        <v>5.700540000357E12</v>
      </c>
      <c r="D574" s="3" t="s">
        <v>317</v>
      </c>
      <c r="E574" s="3" t="s">
        <v>1689</v>
      </c>
      <c r="F574" s="3" t="s">
        <v>1690</v>
      </c>
      <c r="G574" s="3" t="s">
        <v>48</v>
      </c>
      <c r="H574" s="4" t="s">
        <v>1691</v>
      </c>
      <c r="I574" s="3"/>
      <c r="J574" s="3"/>
    </row>
    <row r="575" ht="15.75" customHeight="1">
      <c r="A575" s="2">
        <v>577.0</v>
      </c>
      <c r="B575" s="3" t="s">
        <v>1692</v>
      </c>
      <c r="C575" s="2">
        <v>5.700540000358E12</v>
      </c>
      <c r="D575" s="3" t="s">
        <v>1247</v>
      </c>
      <c r="E575" s="3" t="s">
        <v>131</v>
      </c>
      <c r="F575" s="3" t="s">
        <v>1693</v>
      </c>
      <c r="G575" s="3" t="s">
        <v>20</v>
      </c>
      <c r="H575" s="4" t="s">
        <v>738</v>
      </c>
      <c r="I575" s="3"/>
      <c r="J575" s="3"/>
    </row>
    <row r="576" ht="15.75" customHeight="1">
      <c r="A576" s="2">
        <v>578.0</v>
      </c>
      <c r="B576" s="3" t="s">
        <v>1694</v>
      </c>
      <c r="C576" s="2">
        <v>5.700540000359E12</v>
      </c>
      <c r="D576" s="3" t="s">
        <v>1695</v>
      </c>
      <c r="E576" s="3" t="s">
        <v>1696</v>
      </c>
      <c r="F576" s="3" t="s">
        <v>1697</v>
      </c>
      <c r="G576" s="3" t="s">
        <v>20</v>
      </c>
      <c r="H576" s="4" t="s">
        <v>738</v>
      </c>
      <c r="I576" s="3"/>
      <c r="J576" s="3"/>
    </row>
    <row r="577" ht="15.75" customHeight="1">
      <c r="A577" s="2">
        <v>579.0</v>
      </c>
      <c r="B577" s="3" t="s">
        <v>1698</v>
      </c>
      <c r="C577" s="2">
        <v>5.70054000036E12</v>
      </c>
      <c r="D577" s="3" t="s">
        <v>356</v>
      </c>
      <c r="E577" s="3" t="s">
        <v>1600</v>
      </c>
      <c r="F577" s="3" t="s">
        <v>1699</v>
      </c>
      <c r="G577" s="3" t="s">
        <v>27</v>
      </c>
      <c r="H577" s="4" t="s">
        <v>738</v>
      </c>
      <c r="I577" s="3"/>
      <c r="J577" s="3"/>
    </row>
    <row r="578" ht="15.75" customHeight="1">
      <c r="A578" s="2">
        <v>580.0</v>
      </c>
      <c r="B578" s="3" t="s">
        <v>1700</v>
      </c>
      <c r="C578" s="2">
        <v>5.700540000361E12</v>
      </c>
      <c r="D578" s="3" t="s">
        <v>1701</v>
      </c>
      <c r="E578" s="3" t="s">
        <v>195</v>
      </c>
      <c r="F578" s="3" t="s">
        <v>1702</v>
      </c>
      <c r="G578" s="3" t="s">
        <v>48</v>
      </c>
      <c r="H578" s="4" t="s">
        <v>738</v>
      </c>
      <c r="I578" s="3"/>
      <c r="J578" s="3"/>
    </row>
    <row r="579" ht="15.75" customHeight="1">
      <c r="A579" s="2">
        <v>581.0</v>
      </c>
      <c r="B579" s="3" t="s">
        <v>1342</v>
      </c>
      <c r="C579" s="2">
        <v>5.700540000365E12</v>
      </c>
      <c r="D579" s="3" t="s">
        <v>769</v>
      </c>
      <c r="E579" s="3" t="s">
        <v>488</v>
      </c>
      <c r="F579" s="3" t="s">
        <v>1703</v>
      </c>
      <c r="G579" s="3" t="s">
        <v>20</v>
      </c>
      <c r="H579" s="4" t="s">
        <v>738</v>
      </c>
      <c r="I579" s="3"/>
      <c r="J579" s="3"/>
    </row>
    <row r="580" ht="15.75" customHeight="1">
      <c r="A580" s="2">
        <v>582.0</v>
      </c>
      <c r="B580" s="3" t="s">
        <v>204</v>
      </c>
      <c r="C580" s="2">
        <v>5.700540000366E12</v>
      </c>
      <c r="D580" s="3" t="s">
        <v>891</v>
      </c>
      <c r="E580" s="3" t="s">
        <v>1704</v>
      </c>
      <c r="F580" s="3" t="s">
        <v>1705</v>
      </c>
      <c r="G580" s="3" t="s">
        <v>27</v>
      </c>
      <c r="H580" s="4" t="s">
        <v>738</v>
      </c>
      <c r="I580" s="3"/>
      <c r="J580" s="3"/>
    </row>
    <row r="581" ht="15.75" customHeight="1">
      <c r="A581" s="2">
        <v>583.0</v>
      </c>
      <c r="B581" s="3" t="s">
        <v>1706</v>
      </c>
      <c r="C581" s="2">
        <v>5.70054000037E12</v>
      </c>
      <c r="D581" s="3" t="s">
        <v>1707</v>
      </c>
      <c r="E581" s="3" t="s">
        <v>1708</v>
      </c>
      <c r="F581" s="3" t="s">
        <v>1680</v>
      </c>
      <c r="G581" s="3" t="s">
        <v>27</v>
      </c>
      <c r="H581" s="4" t="s">
        <v>738</v>
      </c>
      <c r="I581" s="3"/>
      <c r="J581" s="3"/>
    </row>
    <row r="582" ht="15.75" customHeight="1">
      <c r="A582" s="2">
        <v>584.0</v>
      </c>
      <c r="B582" s="3" t="s">
        <v>1709</v>
      </c>
      <c r="C582" s="2">
        <v>5.700540000369E12</v>
      </c>
      <c r="D582" s="3" t="s">
        <v>1710</v>
      </c>
      <c r="E582" s="3" t="s">
        <v>1711</v>
      </c>
      <c r="F582" s="3" t="s">
        <v>1712</v>
      </c>
      <c r="G582" s="3" t="s">
        <v>20</v>
      </c>
      <c r="H582" s="4" t="s">
        <v>738</v>
      </c>
      <c r="I582" s="3"/>
      <c r="J582" s="3"/>
    </row>
    <row r="583" ht="15.75" customHeight="1">
      <c r="A583" s="2">
        <v>585.0</v>
      </c>
      <c r="B583" s="3" t="s">
        <v>1713</v>
      </c>
      <c r="C583" s="2">
        <v>5.700540000371E12</v>
      </c>
      <c r="D583" s="3" t="s">
        <v>1714</v>
      </c>
      <c r="E583" s="3" t="s">
        <v>1686</v>
      </c>
      <c r="F583" s="3" t="s">
        <v>1693</v>
      </c>
      <c r="G583" s="3" t="s">
        <v>48</v>
      </c>
      <c r="H583" s="4" t="s">
        <v>738</v>
      </c>
      <c r="I583" s="3"/>
      <c r="J583" s="3"/>
    </row>
    <row r="584" ht="15.75" customHeight="1">
      <c r="A584" s="2">
        <v>586.0</v>
      </c>
      <c r="B584" s="3" t="s">
        <v>1715</v>
      </c>
      <c r="C584" s="2">
        <v>5.700540000372E12</v>
      </c>
      <c r="D584" s="3" t="s">
        <v>1716</v>
      </c>
      <c r="E584" s="3" t="s">
        <v>1717</v>
      </c>
      <c r="F584" s="3" t="s">
        <v>1553</v>
      </c>
      <c r="G584" s="3" t="s">
        <v>20</v>
      </c>
      <c r="H584" s="4" t="s">
        <v>738</v>
      </c>
      <c r="I584" s="3"/>
      <c r="J584" s="3"/>
    </row>
    <row r="585" ht="15.75" customHeight="1">
      <c r="A585" s="2">
        <v>587.0</v>
      </c>
      <c r="B585" s="3" t="s">
        <v>1718</v>
      </c>
      <c r="C585" s="2">
        <v>5.700540000375E12</v>
      </c>
      <c r="D585" s="3" t="s">
        <v>1068</v>
      </c>
      <c r="E585" s="3" t="s">
        <v>1719</v>
      </c>
      <c r="F585" s="3" t="s">
        <v>1720</v>
      </c>
      <c r="G585" s="3" t="s">
        <v>48</v>
      </c>
      <c r="H585" s="4" t="s">
        <v>738</v>
      </c>
      <c r="I585" s="3"/>
      <c r="J585" s="3"/>
    </row>
    <row r="586" ht="15.75" customHeight="1">
      <c r="A586" s="2">
        <v>588.0</v>
      </c>
      <c r="B586" s="3" t="s">
        <v>1721</v>
      </c>
      <c r="C586" s="2">
        <v>5.700540000378E12</v>
      </c>
      <c r="D586" s="3" t="s">
        <v>1722</v>
      </c>
      <c r="E586" s="3" t="s">
        <v>1723</v>
      </c>
      <c r="F586" s="3" t="s">
        <v>1724</v>
      </c>
      <c r="G586" s="3" t="s">
        <v>1359</v>
      </c>
      <c r="H586" s="4" t="s">
        <v>738</v>
      </c>
      <c r="I586" s="3"/>
      <c r="J586" s="3"/>
    </row>
    <row r="587" ht="15.75" customHeight="1">
      <c r="A587" s="2">
        <v>590.0</v>
      </c>
      <c r="B587" s="3" t="s">
        <v>153</v>
      </c>
      <c r="C587" s="2">
        <v>5.700540000383E12</v>
      </c>
      <c r="D587" s="3" t="s">
        <v>1725</v>
      </c>
      <c r="E587" s="3" t="s">
        <v>154</v>
      </c>
      <c r="F587" s="3" t="s">
        <v>1726</v>
      </c>
      <c r="G587" s="3" t="s">
        <v>27</v>
      </c>
      <c r="H587" s="4" t="s">
        <v>738</v>
      </c>
      <c r="I587" s="3"/>
      <c r="J587" s="3"/>
    </row>
    <row r="588" ht="15.75" customHeight="1">
      <c r="A588" s="2">
        <v>591.0</v>
      </c>
      <c r="B588" s="3" t="s">
        <v>1727</v>
      </c>
      <c r="C588" s="2">
        <v>5.700540000385E12</v>
      </c>
      <c r="D588" s="3" t="s">
        <v>432</v>
      </c>
      <c r="E588" s="3" t="s">
        <v>1073</v>
      </c>
      <c r="F588" s="3" t="s">
        <v>1728</v>
      </c>
      <c r="G588" s="3" t="s">
        <v>27</v>
      </c>
      <c r="H588" s="4" t="s">
        <v>738</v>
      </c>
      <c r="I588" s="3"/>
      <c r="J588" s="3"/>
    </row>
    <row r="589" ht="15.75" customHeight="1">
      <c r="A589" s="2">
        <v>592.0</v>
      </c>
      <c r="B589" s="3" t="s">
        <v>1729</v>
      </c>
      <c r="C589" s="2">
        <v>5.700540000387E12</v>
      </c>
      <c r="D589" s="3" t="s">
        <v>161</v>
      </c>
      <c r="E589" s="3" t="s">
        <v>1730</v>
      </c>
      <c r="F589" s="3" t="s">
        <v>1731</v>
      </c>
      <c r="G589" s="3" t="s">
        <v>48</v>
      </c>
      <c r="H589" s="4" t="s">
        <v>738</v>
      </c>
      <c r="I589" s="3"/>
      <c r="J589" s="3"/>
    </row>
    <row r="590" ht="15.75" customHeight="1">
      <c r="A590" s="2">
        <v>593.0</v>
      </c>
      <c r="B590" s="3" t="s">
        <v>1732</v>
      </c>
      <c r="C590" s="2">
        <v>5.700540000388E12</v>
      </c>
      <c r="D590" s="3" t="s">
        <v>1733</v>
      </c>
      <c r="E590" s="3" t="s">
        <v>1734</v>
      </c>
      <c r="F590" s="3" t="s">
        <v>97</v>
      </c>
      <c r="G590" s="3" t="s">
        <v>27</v>
      </c>
      <c r="H590" s="4" t="s">
        <v>738</v>
      </c>
      <c r="I590" s="3"/>
      <c r="J590" s="3"/>
    </row>
    <row r="591" ht="15.75" customHeight="1">
      <c r="A591" s="2">
        <v>594.0</v>
      </c>
      <c r="B591" s="3" t="s">
        <v>1735</v>
      </c>
      <c r="C591" s="2">
        <v>5.700540000389E12</v>
      </c>
      <c r="D591" s="3" t="s">
        <v>633</v>
      </c>
      <c r="E591" s="3" t="s">
        <v>602</v>
      </c>
      <c r="F591" s="3" t="s">
        <v>1736</v>
      </c>
      <c r="G591" s="3" t="s">
        <v>48</v>
      </c>
      <c r="H591" s="4" t="s">
        <v>738</v>
      </c>
      <c r="I591" s="3"/>
      <c r="J591" s="3"/>
    </row>
    <row r="592" ht="15.75" customHeight="1">
      <c r="A592" s="2">
        <v>595.0</v>
      </c>
      <c r="B592" s="3" t="s">
        <v>1737</v>
      </c>
      <c r="C592" s="2">
        <v>5.700540000391E12</v>
      </c>
      <c r="D592" s="3" t="s">
        <v>1738</v>
      </c>
      <c r="E592" s="3" t="s">
        <v>1739</v>
      </c>
      <c r="F592" s="3" t="s">
        <v>1740</v>
      </c>
      <c r="G592" s="3" t="s">
        <v>27</v>
      </c>
      <c r="H592" s="4" t="s">
        <v>738</v>
      </c>
      <c r="I592" s="3"/>
      <c r="J592" s="3"/>
    </row>
    <row r="593" ht="15.75" customHeight="1">
      <c r="A593" s="2">
        <v>596.0</v>
      </c>
      <c r="B593" s="3" t="s">
        <v>1602</v>
      </c>
      <c r="C593" s="2">
        <v>5.700540000395E12</v>
      </c>
      <c r="D593" s="3" t="s">
        <v>1741</v>
      </c>
      <c r="E593" s="3" t="s">
        <v>1742</v>
      </c>
      <c r="F593" s="3" t="s">
        <v>1264</v>
      </c>
      <c r="G593" s="3" t="s">
        <v>20</v>
      </c>
      <c r="H593" s="4" t="s">
        <v>738</v>
      </c>
      <c r="I593" s="3"/>
      <c r="J593" s="3"/>
    </row>
    <row r="594" ht="15.75" customHeight="1">
      <c r="A594" s="2">
        <v>597.0</v>
      </c>
      <c r="B594" s="3" t="s">
        <v>1743</v>
      </c>
      <c r="C594" s="2">
        <v>5.700540000403E12</v>
      </c>
      <c r="D594" s="3" t="s">
        <v>1744</v>
      </c>
      <c r="E594" s="3" t="s">
        <v>1745</v>
      </c>
      <c r="F594" s="3" t="s">
        <v>1746</v>
      </c>
      <c r="G594" s="3" t="s">
        <v>632</v>
      </c>
      <c r="H594" s="4" t="s">
        <v>738</v>
      </c>
      <c r="I594" s="3"/>
      <c r="J594" s="3"/>
    </row>
    <row r="595" ht="15.75" customHeight="1">
      <c r="A595" s="2">
        <v>598.0</v>
      </c>
      <c r="B595" s="3" t="s">
        <v>1747</v>
      </c>
      <c r="C595" s="2">
        <v>5.700540000404E12</v>
      </c>
      <c r="D595" s="3" t="s">
        <v>1748</v>
      </c>
      <c r="E595" s="3" t="s">
        <v>1260</v>
      </c>
      <c r="F595" s="3" t="s">
        <v>1749</v>
      </c>
      <c r="G595" s="3" t="s">
        <v>632</v>
      </c>
      <c r="H595" s="4" t="s">
        <v>738</v>
      </c>
      <c r="I595" s="3"/>
      <c r="J595" s="3"/>
    </row>
    <row r="596" ht="15.75" customHeight="1">
      <c r="A596" s="2">
        <v>599.0</v>
      </c>
      <c r="B596" s="3" t="s">
        <v>1750</v>
      </c>
      <c r="C596" s="2">
        <v>5.700540000405E12</v>
      </c>
      <c r="D596" s="3" t="s">
        <v>1751</v>
      </c>
      <c r="E596" s="3" t="s">
        <v>1752</v>
      </c>
      <c r="F596" s="3" t="s">
        <v>1753</v>
      </c>
      <c r="G596" s="3" t="s">
        <v>20</v>
      </c>
      <c r="H596" s="4" t="s">
        <v>738</v>
      </c>
      <c r="I596" s="3"/>
      <c r="J596" s="3"/>
    </row>
    <row r="597" ht="15.75" customHeight="1">
      <c r="A597" s="2">
        <v>600.0</v>
      </c>
      <c r="B597" s="3" t="s">
        <v>1754</v>
      </c>
      <c r="C597" s="2">
        <v>5.700540000406E12</v>
      </c>
      <c r="D597" s="3" t="s">
        <v>1755</v>
      </c>
      <c r="E597" s="3" t="s">
        <v>1756</v>
      </c>
      <c r="F597" s="3" t="s">
        <v>1757</v>
      </c>
      <c r="G597" s="3" t="s">
        <v>48</v>
      </c>
      <c r="H597" s="4" t="s">
        <v>738</v>
      </c>
      <c r="I597" s="3"/>
      <c r="J597" s="3"/>
    </row>
    <row r="598" ht="15.75" customHeight="1">
      <c r="A598" s="2">
        <v>601.0</v>
      </c>
      <c r="B598" s="3" t="s">
        <v>1758</v>
      </c>
      <c r="C598" s="2">
        <v>5.700540000408E12</v>
      </c>
      <c r="D598" s="3" t="s">
        <v>1291</v>
      </c>
      <c r="E598" s="3" t="s">
        <v>1759</v>
      </c>
      <c r="F598" s="3" t="s">
        <v>1760</v>
      </c>
      <c r="G598" s="3" t="s">
        <v>48</v>
      </c>
      <c r="H598" s="4" t="s">
        <v>738</v>
      </c>
      <c r="I598" s="3"/>
      <c r="J598" s="3"/>
    </row>
    <row r="599" ht="15.75" customHeight="1">
      <c r="A599" s="2">
        <v>602.0</v>
      </c>
      <c r="B599" s="3" t="s">
        <v>1089</v>
      </c>
      <c r="C599" s="2">
        <v>5.700540000414E12</v>
      </c>
      <c r="D599" s="3" t="s">
        <v>1065</v>
      </c>
      <c r="E599" s="3" t="s">
        <v>1761</v>
      </c>
      <c r="F599" s="3" t="s">
        <v>1762</v>
      </c>
      <c r="G599" s="3" t="s">
        <v>12</v>
      </c>
      <c r="H599" s="4" t="s">
        <v>738</v>
      </c>
      <c r="I599" s="3"/>
      <c r="J599" s="3"/>
    </row>
    <row r="600" ht="15.75" customHeight="1">
      <c r="A600" s="2">
        <v>603.0</v>
      </c>
      <c r="B600" s="3" t="s">
        <v>1763</v>
      </c>
      <c r="C600" s="2">
        <v>5.70054375532E11</v>
      </c>
      <c r="D600" s="3" t="s">
        <v>141</v>
      </c>
      <c r="E600" s="3" t="s">
        <v>1764</v>
      </c>
      <c r="F600" s="3" t="s">
        <v>1765</v>
      </c>
      <c r="G600" s="3" t="s">
        <v>20</v>
      </c>
      <c r="H600" s="4" t="s">
        <v>738</v>
      </c>
      <c r="I600" s="3"/>
      <c r="J600" s="3"/>
    </row>
    <row r="601" ht="15.75" customHeight="1">
      <c r="A601" s="2">
        <v>604.0</v>
      </c>
      <c r="B601" s="3" t="s">
        <v>1766</v>
      </c>
      <c r="C601" s="2">
        <v>5.70054375507E11</v>
      </c>
      <c r="D601" s="3" t="s">
        <v>1767</v>
      </c>
      <c r="E601" s="3" t="s">
        <v>1768</v>
      </c>
      <c r="F601" s="3" t="s">
        <v>1769</v>
      </c>
      <c r="G601" s="3" t="s">
        <v>27</v>
      </c>
      <c r="H601" s="4" t="s">
        <v>738</v>
      </c>
      <c r="I601" s="3"/>
      <c r="J601" s="3"/>
    </row>
    <row r="602" ht="15.75" customHeight="1">
      <c r="A602" s="2">
        <v>605.0</v>
      </c>
      <c r="B602" s="3" t="s">
        <v>1770</v>
      </c>
      <c r="C602" s="2">
        <v>5.70054375508E11</v>
      </c>
      <c r="D602" s="3" t="s">
        <v>1771</v>
      </c>
      <c r="E602" s="3" t="s">
        <v>1772</v>
      </c>
      <c r="F602" s="3" t="s">
        <v>1773</v>
      </c>
      <c r="G602" s="3" t="s">
        <v>20</v>
      </c>
      <c r="H602" s="4" t="s">
        <v>1774</v>
      </c>
      <c r="I602" s="3"/>
      <c r="J602" s="3"/>
    </row>
    <row r="603" ht="15.75" customHeight="1">
      <c r="A603" s="2">
        <v>606.0</v>
      </c>
      <c r="B603" s="3" t="s">
        <v>1775</v>
      </c>
      <c r="C603" s="2">
        <v>5.70054375509E11</v>
      </c>
      <c r="D603" s="3" t="s">
        <v>1211</v>
      </c>
      <c r="E603" s="3" t="s">
        <v>1776</v>
      </c>
      <c r="F603" s="3" t="s">
        <v>1777</v>
      </c>
      <c r="G603" s="3" t="s">
        <v>144</v>
      </c>
      <c r="H603" s="4" t="s">
        <v>1774</v>
      </c>
      <c r="I603" s="3"/>
      <c r="J603" s="3"/>
    </row>
    <row r="604" ht="15.75" customHeight="1">
      <c r="A604" s="2">
        <v>607.0</v>
      </c>
      <c r="B604" s="3" t="s">
        <v>1778</v>
      </c>
      <c r="C604" s="2">
        <v>5.7005437551E11</v>
      </c>
      <c r="D604" s="3" t="s">
        <v>1779</v>
      </c>
      <c r="E604" s="3" t="s">
        <v>1780</v>
      </c>
      <c r="F604" s="3" t="s">
        <v>1781</v>
      </c>
      <c r="G604" s="3" t="s">
        <v>1359</v>
      </c>
      <c r="H604" s="4" t="s">
        <v>1774</v>
      </c>
      <c r="I604" s="3"/>
      <c r="J604" s="3"/>
    </row>
    <row r="605" ht="15.75" customHeight="1">
      <c r="A605" s="2">
        <v>608.0</v>
      </c>
      <c r="B605" s="3" t="s">
        <v>398</v>
      </c>
      <c r="C605" s="2">
        <v>5.70054375511E11</v>
      </c>
      <c r="D605" s="3" t="s">
        <v>952</v>
      </c>
      <c r="E605" s="3" t="s">
        <v>1212</v>
      </c>
      <c r="F605" s="3" t="s">
        <v>1782</v>
      </c>
      <c r="G605" s="3" t="s">
        <v>1783</v>
      </c>
      <c r="H605" s="4" t="s">
        <v>738</v>
      </c>
      <c r="I605" s="3"/>
      <c r="J605" s="3"/>
    </row>
    <row r="606" ht="15.75" customHeight="1">
      <c r="A606" s="2">
        <v>609.0</v>
      </c>
      <c r="B606" s="3" t="s">
        <v>1784</v>
      </c>
      <c r="C606" s="2">
        <v>5.70054375514E11</v>
      </c>
      <c r="D606" s="3" t="s">
        <v>1785</v>
      </c>
      <c r="E606" s="3" t="s">
        <v>1786</v>
      </c>
      <c r="F606" s="3" t="s">
        <v>1787</v>
      </c>
      <c r="G606" s="3" t="s">
        <v>48</v>
      </c>
      <c r="H606" s="4" t="s">
        <v>738</v>
      </c>
      <c r="I606" s="3"/>
      <c r="J606" s="3"/>
    </row>
    <row r="607" ht="15.75" customHeight="1">
      <c r="A607" s="2">
        <v>610.0</v>
      </c>
      <c r="B607" s="3" t="s">
        <v>1788</v>
      </c>
      <c r="C607" s="2">
        <v>5.70054375515E11</v>
      </c>
      <c r="D607" s="3" t="s">
        <v>1789</v>
      </c>
      <c r="E607" s="3" t="s">
        <v>1790</v>
      </c>
      <c r="F607" s="3" t="s">
        <v>1483</v>
      </c>
      <c r="G607" s="3" t="s">
        <v>27</v>
      </c>
      <c r="H607" s="4" t="s">
        <v>1791</v>
      </c>
      <c r="I607" s="3"/>
      <c r="J607" s="3"/>
    </row>
    <row r="608" ht="15.75" customHeight="1">
      <c r="A608" s="2">
        <v>611.0</v>
      </c>
      <c r="B608" s="3" t="s">
        <v>208</v>
      </c>
      <c r="C608" s="2">
        <v>5.70054375516E11</v>
      </c>
      <c r="D608" s="3" t="s">
        <v>1792</v>
      </c>
      <c r="E608" s="3" t="s">
        <v>1793</v>
      </c>
      <c r="F608" s="3" t="s">
        <v>1794</v>
      </c>
      <c r="G608" s="3" t="s">
        <v>27</v>
      </c>
      <c r="H608" s="4" t="s">
        <v>738</v>
      </c>
      <c r="I608" s="3"/>
      <c r="J608" s="3"/>
    </row>
    <row r="609" ht="15.75" customHeight="1">
      <c r="A609" s="2">
        <v>612.0</v>
      </c>
      <c r="B609" s="3" t="s">
        <v>1795</v>
      </c>
      <c r="C609" s="2">
        <v>5.70054375517E11</v>
      </c>
      <c r="D609" s="3" t="s">
        <v>1796</v>
      </c>
      <c r="E609" s="3" t="s">
        <v>1797</v>
      </c>
      <c r="F609" s="3" t="s">
        <v>1798</v>
      </c>
      <c r="G609" s="3" t="s">
        <v>27</v>
      </c>
      <c r="H609" s="4" t="s">
        <v>1791</v>
      </c>
      <c r="I609" s="3"/>
      <c r="J609" s="3"/>
    </row>
    <row r="610" ht="15.75" customHeight="1">
      <c r="A610" s="2">
        <v>613.0</v>
      </c>
      <c r="B610" s="3" t="s">
        <v>1633</v>
      </c>
      <c r="C610" s="2">
        <v>5.70054375518E11</v>
      </c>
      <c r="D610" s="3" t="s">
        <v>328</v>
      </c>
      <c r="E610" s="3" t="s">
        <v>1799</v>
      </c>
      <c r="F610" s="3" t="s">
        <v>1800</v>
      </c>
      <c r="G610" s="3" t="s">
        <v>156</v>
      </c>
      <c r="H610" s="4" t="s">
        <v>738</v>
      </c>
      <c r="I610" s="3"/>
      <c r="J610" s="3"/>
    </row>
    <row r="611" ht="15.75" customHeight="1">
      <c r="A611" s="2">
        <v>614.0</v>
      </c>
      <c r="B611" s="3" t="s">
        <v>1801</v>
      </c>
      <c r="C611" s="2">
        <v>5.70054375519E11</v>
      </c>
      <c r="D611" s="3" t="s">
        <v>1802</v>
      </c>
      <c r="E611" s="3" t="s">
        <v>544</v>
      </c>
      <c r="F611" s="3" t="s">
        <v>1803</v>
      </c>
      <c r="G611" s="3" t="s">
        <v>27</v>
      </c>
      <c r="H611" s="4" t="s">
        <v>738</v>
      </c>
      <c r="I611" s="3"/>
      <c r="J611" s="3"/>
    </row>
    <row r="612" ht="15.75" customHeight="1">
      <c r="A612" s="2">
        <v>615.0</v>
      </c>
      <c r="B612" s="3" t="s">
        <v>1804</v>
      </c>
      <c r="C612" s="2">
        <v>5.7005437552E11</v>
      </c>
      <c r="D612" s="3" t="s">
        <v>1805</v>
      </c>
      <c r="E612" s="3" t="s">
        <v>1806</v>
      </c>
      <c r="F612" s="3" t="s">
        <v>1807</v>
      </c>
      <c r="G612" s="3" t="s">
        <v>27</v>
      </c>
      <c r="H612" s="4" t="s">
        <v>738</v>
      </c>
      <c r="I612" s="3"/>
      <c r="J612" s="3"/>
    </row>
    <row r="613" ht="15.75" customHeight="1">
      <c r="A613" s="2">
        <v>616.0</v>
      </c>
      <c r="B613" s="3" t="s">
        <v>1808</v>
      </c>
      <c r="C613" s="2">
        <v>5.700540000366E12</v>
      </c>
      <c r="D613" s="3" t="s">
        <v>383</v>
      </c>
      <c r="E613" s="3" t="s">
        <v>1809</v>
      </c>
      <c r="F613" s="3" t="s">
        <v>1810</v>
      </c>
      <c r="G613" s="3" t="s">
        <v>27</v>
      </c>
      <c r="H613" s="4" t="s">
        <v>1811</v>
      </c>
      <c r="I613" s="3"/>
      <c r="J613" s="3"/>
    </row>
    <row r="614" ht="15.75" customHeight="1">
      <c r="A614" s="2">
        <v>617.0</v>
      </c>
      <c r="B614" s="3" t="s">
        <v>1812</v>
      </c>
      <c r="C614" s="2">
        <v>5.700540000412E12</v>
      </c>
      <c r="D614" s="3" t="s">
        <v>130</v>
      </c>
      <c r="E614" s="3" t="s">
        <v>1813</v>
      </c>
      <c r="F614" s="3" t="s">
        <v>1814</v>
      </c>
      <c r="G614" s="3" t="s">
        <v>48</v>
      </c>
      <c r="H614" s="4" t="s">
        <v>1815</v>
      </c>
      <c r="I614" s="3"/>
      <c r="J614" s="3"/>
    </row>
    <row r="615" ht="15.75" customHeight="1">
      <c r="A615" s="2">
        <v>618.0</v>
      </c>
      <c r="B615" s="3" t="s">
        <v>1816</v>
      </c>
      <c r="C615" s="2">
        <v>5.700540000413E12</v>
      </c>
      <c r="D615" s="3" t="s">
        <v>165</v>
      </c>
      <c r="E615" s="3" t="s">
        <v>1817</v>
      </c>
      <c r="F615" s="3" t="s">
        <v>1818</v>
      </c>
      <c r="G615" s="3" t="s">
        <v>48</v>
      </c>
      <c r="H615" s="4" t="s">
        <v>1819</v>
      </c>
      <c r="I615" s="3"/>
      <c r="J615" s="3"/>
    </row>
    <row r="616" ht="15.75" customHeight="1">
      <c r="A616" s="2">
        <v>619.0</v>
      </c>
      <c r="B616" s="3" t="s">
        <v>1820</v>
      </c>
      <c r="C616" s="2">
        <v>5.700540000415E12</v>
      </c>
      <c r="D616" s="3" t="s">
        <v>1821</v>
      </c>
      <c r="E616" s="3" t="s">
        <v>1822</v>
      </c>
      <c r="F616" s="3" t="s">
        <v>1823</v>
      </c>
      <c r="G616" s="3" t="s">
        <v>48</v>
      </c>
      <c r="H616" s="4" t="s">
        <v>1824</v>
      </c>
      <c r="I616" s="3"/>
      <c r="J616" s="3"/>
    </row>
    <row r="617" ht="15.75" customHeight="1">
      <c r="A617" s="2">
        <v>620.0</v>
      </c>
      <c r="B617" s="3" t="s">
        <v>1825</v>
      </c>
      <c r="C617" s="2">
        <v>5.700540000416E12</v>
      </c>
      <c r="D617" s="3" t="s">
        <v>1826</v>
      </c>
      <c r="E617" s="3" t="s">
        <v>83</v>
      </c>
      <c r="F617" s="3" t="s">
        <v>1827</v>
      </c>
      <c r="G617" s="3" t="s">
        <v>48</v>
      </c>
      <c r="H617" s="4" t="s">
        <v>1828</v>
      </c>
      <c r="I617" s="3"/>
      <c r="J617" s="3"/>
    </row>
    <row r="618" ht="15.75" customHeight="1">
      <c r="A618" s="2">
        <v>621.0</v>
      </c>
      <c r="B618" s="3" t="s">
        <v>1640</v>
      </c>
      <c r="C618" s="2">
        <v>5.700540000417E12</v>
      </c>
      <c r="D618" s="3" t="s">
        <v>52</v>
      </c>
      <c r="E618" s="3" t="s">
        <v>771</v>
      </c>
      <c r="F618" s="3" t="s">
        <v>1829</v>
      </c>
      <c r="G618" s="3" t="s">
        <v>48</v>
      </c>
      <c r="H618" s="4" t="s">
        <v>1830</v>
      </c>
      <c r="I618" s="3"/>
      <c r="J618" s="3"/>
    </row>
    <row r="619" ht="15.75" customHeight="1">
      <c r="A619" s="2">
        <v>622.0</v>
      </c>
      <c r="B619" s="3" t="s">
        <v>1831</v>
      </c>
      <c r="C619" s="2">
        <v>5.700540000425E12</v>
      </c>
      <c r="D619" s="3" t="s">
        <v>1832</v>
      </c>
      <c r="E619" s="3" t="s">
        <v>1833</v>
      </c>
      <c r="F619" s="3" t="s">
        <v>1834</v>
      </c>
      <c r="G619" s="3" t="s">
        <v>48</v>
      </c>
      <c r="H619" s="4" t="s">
        <v>1835</v>
      </c>
      <c r="I619" s="3"/>
      <c r="J619" s="3"/>
    </row>
    <row r="620" ht="15.75" customHeight="1">
      <c r="A620" s="2">
        <v>623.0</v>
      </c>
      <c r="B620" s="3" t="s">
        <v>1836</v>
      </c>
      <c r="C620" s="2">
        <v>5.700540000431E12</v>
      </c>
      <c r="D620" s="3" t="s">
        <v>576</v>
      </c>
      <c r="E620" s="3" t="s">
        <v>1837</v>
      </c>
      <c r="F620" s="3" t="s">
        <v>1838</v>
      </c>
      <c r="G620" s="3" t="s">
        <v>27</v>
      </c>
      <c r="H620" s="4" t="s">
        <v>1839</v>
      </c>
      <c r="I620" s="3"/>
      <c r="J620" s="3"/>
    </row>
    <row r="621" ht="15.75" customHeight="1">
      <c r="A621" s="2">
        <v>624.0</v>
      </c>
      <c r="B621" s="3" t="s">
        <v>1840</v>
      </c>
      <c r="C621" s="2">
        <v>5.700540000438E12</v>
      </c>
      <c r="D621" s="3" t="s">
        <v>1841</v>
      </c>
      <c r="E621" s="3" t="s">
        <v>1842</v>
      </c>
      <c r="F621" s="3" t="s">
        <v>1843</v>
      </c>
      <c r="G621" s="3" t="s">
        <v>48</v>
      </c>
      <c r="H621" s="4" t="s">
        <v>1844</v>
      </c>
      <c r="I621" s="3"/>
      <c r="J621" s="3"/>
    </row>
    <row r="622" ht="15.75" customHeight="1">
      <c r="A622" s="2">
        <v>625.0</v>
      </c>
      <c r="B622" s="3" t="s">
        <v>1845</v>
      </c>
      <c r="C622" s="2">
        <v>5.700540000443E12</v>
      </c>
      <c r="D622" s="3" t="s">
        <v>1846</v>
      </c>
      <c r="E622" s="3" t="s">
        <v>1847</v>
      </c>
      <c r="F622" s="3" t="s">
        <v>1848</v>
      </c>
      <c r="G622" s="3" t="s">
        <v>48</v>
      </c>
      <c r="H622" s="4" t="s">
        <v>1849</v>
      </c>
      <c r="I622" s="3"/>
      <c r="J622" s="3"/>
    </row>
    <row r="623" ht="15.75" customHeight="1">
      <c r="A623" s="2">
        <v>626.0</v>
      </c>
      <c r="B623" s="3" t="s">
        <v>1850</v>
      </c>
      <c r="C623" s="2">
        <v>5.700540000444E12</v>
      </c>
      <c r="D623" s="3" t="s">
        <v>988</v>
      </c>
      <c r="E623" s="3" t="s">
        <v>1851</v>
      </c>
      <c r="F623" s="3" t="s">
        <v>1852</v>
      </c>
      <c r="G623" s="3" t="s">
        <v>402</v>
      </c>
      <c r="H623" s="4" t="s">
        <v>1853</v>
      </c>
      <c r="I623" s="3"/>
      <c r="J623" s="3"/>
    </row>
    <row r="624" ht="15.75" customHeight="1">
      <c r="A624" s="2">
        <v>627.0</v>
      </c>
      <c r="B624" s="3" t="s">
        <v>1854</v>
      </c>
      <c r="C624" s="2">
        <v>5.700540000447E12</v>
      </c>
      <c r="D624" s="3" t="s">
        <v>300</v>
      </c>
      <c r="E624" s="3" t="s">
        <v>1855</v>
      </c>
      <c r="F624" s="3" t="s">
        <v>1856</v>
      </c>
      <c r="G624" s="3" t="s">
        <v>48</v>
      </c>
      <c r="H624" s="4" t="s">
        <v>1857</v>
      </c>
      <c r="I624" s="3"/>
      <c r="J624" s="3"/>
    </row>
    <row r="625" ht="15.75" customHeight="1">
      <c r="A625" s="2">
        <v>628.0</v>
      </c>
      <c r="B625" s="3" t="s">
        <v>1858</v>
      </c>
      <c r="C625" s="2">
        <v>5.700540000449E12</v>
      </c>
      <c r="D625" s="3" t="s">
        <v>1155</v>
      </c>
      <c r="E625" s="3" t="s">
        <v>1859</v>
      </c>
      <c r="F625" s="3" t="s">
        <v>1860</v>
      </c>
      <c r="G625" s="3" t="s">
        <v>48</v>
      </c>
      <c r="H625" s="4" t="s">
        <v>738</v>
      </c>
      <c r="I625" s="3"/>
      <c r="J625" s="3"/>
    </row>
    <row r="626" ht="15.75" customHeight="1">
      <c r="A626" s="2">
        <v>629.0</v>
      </c>
      <c r="B626" s="3" t="s">
        <v>1551</v>
      </c>
      <c r="C626" s="2">
        <v>5.70054375521E11</v>
      </c>
      <c r="D626" s="3" t="s">
        <v>823</v>
      </c>
      <c r="E626" s="3" t="s">
        <v>556</v>
      </c>
      <c r="F626" s="3" t="s">
        <v>1861</v>
      </c>
      <c r="G626" s="3" t="s">
        <v>27</v>
      </c>
      <c r="H626" s="4" t="s">
        <v>738</v>
      </c>
      <c r="I626" s="3"/>
      <c r="J626" s="3"/>
    </row>
    <row r="627" ht="15.75" customHeight="1">
      <c r="A627" s="2">
        <v>630.0</v>
      </c>
      <c r="B627" s="3" t="s">
        <v>1692</v>
      </c>
      <c r="C627" s="2">
        <v>5.70054375522E11</v>
      </c>
      <c r="D627" s="3" t="s">
        <v>161</v>
      </c>
      <c r="E627" s="3" t="s">
        <v>1730</v>
      </c>
      <c r="F627" s="3" t="s">
        <v>1862</v>
      </c>
      <c r="G627" s="3" t="s">
        <v>27</v>
      </c>
      <c r="H627" s="4" t="s">
        <v>738</v>
      </c>
      <c r="I627" s="3"/>
      <c r="J627" s="3"/>
    </row>
    <row r="628" ht="15.75" customHeight="1">
      <c r="A628" s="2">
        <v>631.0</v>
      </c>
      <c r="B628" s="3" t="s">
        <v>1863</v>
      </c>
      <c r="C628" s="2">
        <v>5.70054375523E11</v>
      </c>
      <c r="D628" s="3" t="s">
        <v>1864</v>
      </c>
      <c r="E628" s="3" t="s">
        <v>1865</v>
      </c>
      <c r="F628" s="3" t="s">
        <v>1866</v>
      </c>
      <c r="G628" s="3" t="s">
        <v>144</v>
      </c>
      <c r="H628" s="4" t="s">
        <v>738</v>
      </c>
      <c r="I628" s="3"/>
      <c r="J628" s="3"/>
    </row>
    <row r="629" ht="15.75" customHeight="1">
      <c r="A629" s="2">
        <v>632.0</v>
      </c>
      <c r="B629" s="3" t="s">
        <v>1678</v>
      </c>
      <c r="C629" s="2">
        <v>5.70054375524E11</v>
      </c>
      <c r="D629" s="3" t="s">
        <v>720</v>
      </c>
      <c r="E629" s="3" t="s">
        <v>67</v>
      </c>
      <c r="F629" s="3" t="s">
        <v>1867</v>
      </c>
      <c r="G629" s="3" t="s">
        <v>156</v>
      </c>
      <c r="H629" s="4" t="s">
        <v>738</v>
      </c>
      <c r="I629" s="3"/>
      <c r="J629" s="3"/>
    </row>
    <row r="630" ht="15.75" customHeight="1">
      <c r="A630" s="2">
        <v>633.0</v>
      </c>
      <c r="B630" s="3" t="s">
        <v>1868</v>
      </c>
      <c r="C630" s="2">
        <v>5.70054375526E11</v>
      </c>
      <c r="D630" s="3" t="s">
        <v>1821</v>
      </c>
      <c r="E630" s="3" t="s">
        <v>1869</v>
      </c>
      <c r="F630" s="3" t="s">
        <v>1870</v>
      </c>
      <c r="G630" s="3" t="s">
        <v>156</v>
      </c>
      <c r="H630" s="4" t="s">
        <v>738</v>
      </c>
      <c r="I630" s="3"/>
      <c r="J630" s="3"/>
    </row>
    <row r="631" ht="15.75" customHeight="1">
      <c r="A631" s="2">
        <v>634.0</v>
      </c>
      <c r="B631" s="3" t="s">
        <v>1871</v>
      </c>
      <c r="C631" s="2">
        <v>5.70054375527E11</v>
      </c>
      <c r="D631" s="3" t="s">
        <v>1872</v>
      </c>
      <c r="E631" s="3" t="s">
        <v>1873</v>
      </c>
      <c r="F631" s="3" t="s">
        <v>1874</v>
      </c>
      <c r="G631" s="3" t="s">
        <v>27</v>
      </c>
      <c r="H631" s="4" t="s">
        <v>1875</v>
      </c>
      <c r="I631" s="3"/>
      <c r="J631" s="3"/>
    </row>
    <row r="632" ht="15.75" customHeight="1">
      <c r="A632" s="2">
        <v>635.0</v>
      </c>
      <c r="B632" s="3" t="s">
        <v>1876</v>
      </c>
      <c r="C632" s="2">
        <v>5.70054375528E11</v>
      </c>
      <c r="D632" s="3" t="s">
        <v>1877</v>
      </c>
      <c r="E632" s="3" t="s">
        <v>1878</v>
      </c>
      <c r="F632" s="3" t="s">
        <v>1879</v>
      </c>
      <c r="G632" s="3" t="s">
        <v>20</v>
      </c>
      <c r="H632" s="4" t="s">
        <v>738</v>
      </c>
      <c r="I632" s="3"/>
      <c r="J632" s="3"/>
    </row>
    <row r="633" ht="15.75" customHeight="1">
      <c r="A633" s="2">
        <v>636.0</v>
      </c>
      <c r="B633" s="3" t="s">
        <v>1880</v>
      </c>
      <c r="C633" s="2">
        <v>5.70054375529E11</v>
      </c>
      <c r="D633" s="3" t="s">
        <v>1881</v>
      </c>
      <c r="E633" s="3" t="s">
        <v>1882</v>
      </c>
      <c r="F633" s="3" t="s">
        <v>1883</v>
      </c>
      <c r="G633" s="3" t="s">
        <v>27</v>
      </c>
      <c r="H633" s="4" t="s">
        <v>738</v>
      </c>
      <c r="I633" s="3"/>
      <c r="J633" s="3"/>
    </row>
    <row r="634" ht="15.75" customHeight="1">
      <c r="A634" s="2">
        <v>637.0</v>
      </c>
      <c r="B634" s="3" t="s">
        <v>1884</v>
      </c>
      <c r="C634" s="2">
        <v>5.7005437553E11</v>
      </c>
      <c r="D634" s="3" t="s">
        <v>78</v>
      </c>
      <c r="E634" s="3" t="s">
        <v>10</v>
      </c>
      <c r="F634" s="3" t="s">
        <v>1885</v>
      </c>
      <c r="G634" s="3" t="s">
        <v>27</v>
      </c>
      <c r="H634" s="4" t="s">
        <v>738</v>
      </c>
      <c r="I634" s="3"/>
      <c r="J634" s="3"/>
    </row>
    <row r="635" ht="15.75" customHeight="1">
      <c r="A635" s="2">
        <v>638.0</v>
      </c>
      <c r="B635" s="3" t="s">
        <v>1886</v>
      </c>
      <c r="C635" s="2">
        <v>5.70054375535E11</v>
      </c>
      <c r="D635" s="3" t="s">
        <v>769</v>
      </c>
      <c r="E635" s="3" t="s">
        <v>1887</v>
      </c>
      <c r="F635" s="3" t="s">
        <v>1888</v>
      </c>
      <c r="G635" s="3" t="s">
        <v>27</v>
      </c>
      <c r="H635" s="4" t="s">
        <v>738</v>
      </c>
      <c r="I635" s="3"/>
      <c r="J635" s="3"/>
    </row>
    <row r="636" ht="15.75" customHeight="1">
      <c r="A636" s="2">
        <v>639.0</v>
      </c>
      <c r="B636" s="3" t="s">
        <v>1889</v>
      </c>
      <c r="C636" s="2">
        <v>5.70054375536E11</v>
      </c>
      <c r="D636" s="3" t="s">
        <v>616</v>
      </c>
      <c r="E636" s="3" t="s">
        <v>1890</v>
      </c>
      <c r="F636" s="3" t="s">
        <v>1867</v>
      </c>
      <c r="G636" s="3" t="s">
        <v>27</v>
      </c>
      <c r="H636" s="4" t="s">
        <v>738</v>
      </c>
      <c r="I636" s="3"/>
      <c r="J636" s="3"/>
    </row>
    <row r="637" ht="15.75" customHeight="1">
      <c r="A637" s="2">
        <v>640.0</v>
      </c>
      <c r="B637" s="3" t="s">
        <v>1891</v>
      </c>
      <c r="C637" s="2">
        <v>5.70054375537E11</v>
      </c>
      <c r="D637" s="3" t="s">
        <v>307</v>
      </c>
      <c r="E637" s="3" t="s">
        <v>1362</v>
      </c>
      <c r="F637" s="3" t="s">
        <v>1892</v>
      </c>
      <c r="G637" s="3" t="s">
        <v>27</v>
      </c>
      <c r="H637" s="4" t="s">
        <v>738</v>
      </c>
      <c r="I637" s="3"/>
      <c r="J637" s="3"/>
    </row>
    <row r="638" ht="15.75" customHeight="1">
      <c r="A638" s="2">
        <v>641.0</v>
      </c>
      <c r="B638" s="3" t="s">
        <v>1893</v>
      </c>
      <c r="C638" s="2">
        <v>5.70054375538E11</v>
      </c>
      <c r="D638" s="3" t="s">
        <v>1894</v>
      </c>
      <c r="E638" s="3" t="s">
        <v>1895</v>
      </c>
      <c r="F638" s="3" t="s">
        <v>1896</v>
      </c>
      <c r="G638" s="3" t="s">
        <v>27</v>
      </c>
      <c r="H638" s="4" t="s">
        <v>1819</v>
      </c>
      <c r="I638" s="3"/>
      <c r="J638" s="3"/>
    </row>
    <row r="639" ht="15.75" customHeight="1">
      <c r="A639" s="2">
        <v>642.0</v>
      </c>
      <c r="B639" s="3" t="s">
        <v>1897</v>
      </c>
      <c r="C639" s="2">
        <v>5.70054375539E11</v>
      </c>
      <c r="D639" s="3" t="s">
        <v>1201</v>
      </c>
      <c r="E639" s="3" t="s">
        <v>1898</v>
      </c>
      <c r="F639" s="3" t="s">
        <v>1885</v>
      </c>
      <c r="G639" s="3" t="s">
        <v>27</v>
      </c>
      <c r="H639" s="4" t="s">
        <v>738</v>
      </c>
      <c r="I639" s="3"/>
      <c r="J639" s="3"/>
    </row>
    <row r="640" ht="15.75" customHeight="1">
      <c r="A640" s="2">
        <v>643.0</v>
      </c>
      <c r="B640" s="3" t="s">
        <v>1657</v>
      </c>
      <c r="C640" s="2">
        <v>5.70054375541E11</v>
      </c>
      <c r="D640" s="3" t="s">
        <v>1899</v>
      </c>
      <c r="E640" s="3" t="s">
        <v>1900</v>
      </c>
      <c r="F640" s="3" t="s">
        <v>1901</v>
      </c>
      <c r="G640" s="3" t="s">
        <v>27</v>
      </c>
      <c r="H640" s="4" t="s">
        <v>738</v>
      </c>
      <c r="I640" s="3"/>
      <c r="J640" s="3"/>
    </row>
    <row r="641" ht="15.75" customHeight="1">
      <c r="A641" s="2">
        <v>644.0</v>
      </c>
      <c r="B641" s="3" t="s">
        <v>1902</v>
      </c>
      <c r="C641" s="2">
        <v>5.70054375542E11</v>
      </c>
      <c r="D641" s="3" t="s">
        <v>1903</v>
      </c>
      <c r="E641" s="3" t="s">
        <v>154</v>
      </c>
      <c r="F641" s="3" t="s">
        <v>1904</v>
      </c>
      <c r="G641" s="3" t="s">
        <v>27</v>
      </c>
      <c r="H641" s="4" t="s">
        <v>1905</v>
      </c>
      <c r="I641" s="3"/>
      <c r="J641" s="3"/>
    </row>
    <row r="642" ht="15.75" customHeight="1">
      <c r="A642" s="2">
        <v>645.0</v>
      </c>
      <c r="B642" s="3" t="s">
        <v>1661</v>
      </c>
      <c r="C642" s="2">
        <v>5.70054375547E11</v>
      </c>
      <c r="D642" s="3" t="s">
        <v>1906</v>
      </c>
      <c r="E642" s="3" t="s">
        <v>1212</v>
      </c>
      <c r="F642" s="3" t="s">
        <v>1907</v>
      </c>
      <c r="G642" s="3" t="s">
        <v>27</v>
      </c>
      <c r="H642" s="4" t="s">
        <v>1908</v>
      </c>
      <c r="I642" s="3"/>
      <c r="J642" s="3"/>
    </row>
    <row r="643" ht="15.75" customHeight="1">
      <c r="A643" s="2">
        <v>646.0</v>
      </c>
      <c r="B643" s="3" t="s">
        <v>1909</v>
      </c>
      <c r="C643" s="2">
        <v>5.70054375548E11</v>
      </c>
      <c r="D643" s="3" t="s">
        <v>1910</v>
      </c>
      <c r="E643" s="3" t="s">
        <v>1911</v>
      </c>
      <c r="F643" s="3" t="s">
        <v>1912</v>
      </c>
      <c r="G643" s="3" t="s">
        <v>27</v>
      </c>
      <c r="H643" s="4" t="s">
        <v>1913</v>
      </c>
      <c r="I643" s="3"/>
      <c r="J643" s="3"/>
    </row>
    <row r="644" ht="15.75" customHeight="1">
      <c r="A644" s="2">
        <v>647.0</v>
      </c>
      <c r="B644" s="3" t="s">
        <v>1914</v>
      </c>
      <c r="C644" s="2">
        <v>5.70054375549E11</v>
      </c>
      <c r="D644" s="3" t="s">
        <v>1502</v>
      </c>
      <c r="E644" s="3" t="s">
        <v>159</v>
      </c>
      <c r="F644" s="3" t="s">
        <v>1915</v>
      </c>
      <c r="G644" s="3" t="s">
        <v>27</v>
      </c>
      <c r="H644" s="4" t="s">
        <v>1916</v>
      </c>
      <c r="I644" s="3"/>
      <c r="J644" s="3"/>
    </row>
    <row r="645" ht="15.75" customHeight="1">
      <c r="A645" s="2">
        <v>648.0</v>
      </c>
      <c r="B645" s="3" t="s">
        <v>1917</v>
      </c>
      <c r="C645" s="2">
        <v>5.70054375551E11</v>
      </c>
      <c r="D645" s="3" t="s">
        <v>1918</v>
      </c>
      <c r="E645" s="3" t="s">
        <v>1919</v>
      </c>
      <c r="F645" s="3" t="s">
        <v>1726</v>
      </c>
      <c r="G645" s="3" t="s">
        <v>27</v>
      </c>
      <c r="H645" s="4" t="s">
        <v>738</v>
      </c>
      <c r="I645" s="3"/>
      <c r="J645" s="3"/>
    </row>
    <row r="646" ht="15.75" customHeight="1">
      <c r="A646" s="2">
        <v>649.0</v>
      </c>
      <c r="B646" s="3" t="s">
        <v>1920</v>
      </c>
      <c r="C646" s="2">
        <v>5.70054375553E11</v>
      </c>
      <c r="D646" s="3" t="s">
        <v>1921</v>
      </c>
      <c r="E646" s="3" t="s">
        <v>1922</v>
      </c>
      <c r="F646" s="3" t="s">
        <v>1923</v>
      </c>
      <c r="G646" s="3" t="s">
        <v>48</v>
      </c>
      <c r="H646" s="4" t="s">
        <v>1924</v>
      </c>
      <c r="I646" s="3"/>
      <c r="J646" s="3"/>
    </row>
    <row r="647" ht="15.75" customHeight="1">
      <c r="A647" s="2">
        <v>650.0</v>
      </c>
      <c r="B647" s="3" t="s">
        <v>1221</v>
      </c>
      <c r="C647" s="2">
        <v>5.70054375554E11</v>
      </c>
      <c r="D647" s="3" t="s">
        <v>929</v>
      </c>
      <c r="E647" s="3" t="s">
        <v>1381</v>
      </c>
      <c r="F647" s="3" t="s">
        <v>1925</v>
      </c>
      <c r="G647" s="3" t="s">
        <v>27</v>
      </c>
      <c r="H647" s="4" t="s">
        <v>1926</v>
      </c>
      <c r="I647" s="3"/>
      <c r="J647" s="3"/>
    </row>
    <row r="648" ht="15.75" customHeight="1">
      <c r="A648" s="2">
        <v>651.0</v>
      </c>
      <c r="B648" s="3" t="s">
        <v>1927</v>
      </c>
      <c r="C648" s="2">
        <v>5.70054375555E11</v>
      </c>
      <c r="D648" s="3" t="s">
        <v>1928</v>
      </c>
      <c r="E648" s="3" t="s">
        <v>1929</v>
      </c>
      <c r="F648" s="3" t="s">
        <v>1930</v>
      </c>
      <c r="G648" s="3" t="s">
        <v>632</v>
      </c>
      <c r="H648" s="4" t="s">
        <v>1931</v>
      </c>
      <c r="I648" s="3"/>
      <c r="J648" s="3"/>
    </row>
    <row r="649" ht="15.75" customHeight="1">
      <c r="A649" s="2">
        <v>652.0</v>
      </c>
      <c r="B649" s="3" t="s">
        <v>1932</v>
      </c>
      <c r="C649" s="2">
        <v>5.70054375566E11</v>
      </c>
      <c r="D649" s="3" t="s">
        <v>1933</v>
      </c>
      <c r="E649" s="3" t="s">
        <v>1934</v>
      </c>
      <c r="F649" s="3" t="s">
        <v>1935</v>
      </c>
      <c r="G649" s="3" t="s">
        <v>27</v>
      </c>
      <c r="H649" s="4" t="s">
        <v>1936</v>
      </c>
      <c r="I649" s="3"/>
      <c r="J649" s="3"/>
    </row>
    <row r="650" ht="15.75" customHeight="1">
      <c r="A650" s="2">
        <v>653.0</v>
      </c>
      <c r="B650" s="3" t="s">
        <v>1937</v>
      </c>
      <c r="C650" s="2">
        <v>5.700540000448E12</v>
      </c>
      <c r="D650" s="3" t="s">
        <v>921</v>
      </c>
      <c r="E650" s="3" t="s">
        <v>1216</v>
      </c>
      <c r="F650" s="3" t="s">
        <v>1938</v>
      </c>
      <c r="G650" s="3" t="s">
        <v>48</v>
      </c>
      <c r="H650" s="4" t="s">
        <v>738</v>
      </c>
      <c r="I650" s="3"/>
      <c r="J650" s="3"/>
    </row>
    <row r="651" ht="15.75" customHeight="1">
      <c r="A651" s="2">
        <v>654.0</v>
      </c>
      <c r="B651" s="3" t="s">
        <v>1633</v>
      </c>
      <c r="C651" s="2">
        <v>5.70054375557E11</v>
      </c>
      <c r="D651" s="3" t="s">
        <v>398</v>
      </c>
      <c r="E651" s="3" t="s">
        <v>1453</v>
      </c>
      <c r="F651" s="3" t="s">
        <v>1939</v>
      </c>
      <c r="G651" s="3" t="s">
        <v>12</v>
      </c>
      <c r="H651" s="4" t="s">
        <v>738</v>
      </c>
      <c r="I651" s="3"/>
      <c r="J651" s="3"/>
    </row>
    <row r="652" ht="15.75" customHeight="1">
      <c r="A652" s="2">
        <v>655.0</v>
      </c>
      <c r="B652" s="3" t="s">
        <v>1940</v>
      </c>
      <c r="C652" s="2">
        <v>5.70054375558E11</v>
      </c>
      <c r="D652" s="3" t="s">
        <v>253</v>
      </c>
      <c r="E652" s="3" t="s">
        <v>1941</v>
      </c>
      <c r="F652" s="3" t="s">
        <v>1942</v>
      </c>
      <c r="G652" s="3" t="s">
        <v>27</v>
      </c>
      <c r="H652" s="4" t="s">
        <v>738</v>
      </c>
      <c r="I652" s="3"/>
      <c r="J652" s="3"/>
    </row>
    <row r="653" ht="15.75" customHeight="1">
      <c r="A653" s="2">
        <v>656.0</v>
      </c>
      <c r="B653" s="3" t="s">
        <v>1943</v>
      </c>
      <c r="C653" s="2">
        <v>5.70054375559E11</v>
      </c>
      <c r="D653" s="3" t="s">
        <v>541</v>
      </c>
      <c r="E653" s="3" t="s">
        <v>1944</v>
      </c>
      <c r="F653" s="3" t="s">
        <v>1945</v>
      </c>
      <c r="G653" s="3" t="s">
        <v>20</v>
      </c>
      <c r="H653" s="4" t="s">
        <v>738</v>
      </c>
      <c r="I653" s="3"/>
      <c r="J653" s="3"/>
    </row>
    <row r="654" ht="15.75" customHeight="1">
      <c r="A654" s="2">
        <v>657.0</v>
      </c>
      <c r="B654" s="3" t="s">
        <v>1946</v>
      </c>
      <c r="C654" s="2">
        <v>5.7005437556E11</v>
      </c>
      <c r="D654" s="3" t="s">
        <v>854</v>
      </c>
      <c r="E654" s="3" t="s">
        <v>154</v>
      </c>
      <c r="F654" s="3" t="s">
        <v>1947</v>
      </c>
      <c r="G654" s="3" t="s">
        <v>20</v>
      </c>
      <c r="H654" s="4" t="s">
        <v>738</v>
      </c>
      <c r="I654" s="3"/>
      <c r="J654" s="3"/>
    </row>
    <row r="655" ht="15.75" customHeight="1">
      <c r="A655" s="2">
        <v>658.0</v>
      </c>
      <c r="B655" s="3" t="s">
        <v>1948</v>
      </c>
      <c r="C655" s="2">
        <v>5.70054375562E11</v>
      </c>
      <c r="D655" s="3" t="s">
        <v>1949</v>
      </c>
      <c r="E655" s="3" t="s">
        <v>1950</v>
      </c>
      <c r="F655" s="3" t="s">
        <v>1951</v>
      </c>
      <c r="G655" s="3" t="s">
        <v>27</v>
      </c>
      <c r="H655" s="4" t="s">
        <v>738</v>
      </c>
      <c r="I655" s="3"/>
      <c r="J655" s="3"/>
    </row>
    <row r="656" ht="15.75" customHeight="1">
      <c r="A656" s="2">
        <v>659.0</v>
      </c>
      <c r="B656" s="3" t="s">
        <v>1952</v>
      </c>
      <c r="C656" s="2">
        <v>5.70054375563E11</v>
      </c>
      <c r="D656" s="3" t="s">
        <v>1953</v>
      </c>
      <c r="E656" s="3" t="s">
        <v>1954</v>
      </c>
      <c r="F656" s="3" t="s">
        <v>1955</v>
      </c>
      <c r="G656" s="3" t="s">
        <v>20</v>
      </c>
      <c r="H656" s="4" t="s">
        <v>738</v>
      </c>
      <c r="I656" s="3"/>
      <c r="J656" s="3"/>
    </row>
    <row r="657" ht="15.75" customHeight="1">
      <c r="A657" s="2">
        <v>660.0</v>
      </c>
      <c r="B657" s="3" t="s">
        <v>940</v>
      </c>
      <c r="C657" s="2">
        <v>5.70054375564E11</v>
      </c>
      <c r="D657" s="3" t="s">
        <v>950</v>
      </c>
      <c r="E657" s="3" t="s">
        <v>1956</v>
      </c>
      <c r="F657" s="3" t="s">
        <v>1957</v>
      </c>
      <c r="G657" s="3" t="s">
        <v>144</v>
      </c>
      <c r="H657" s="4" t="s">
        <v>738</v>
      </c>
      <c r="I657" s="3"/>
      <c r="J657" s="3"/>
    </row>
    <row r="658" ht="15.75" customHeight="1">
      <c r="A658" s="2">
        <v>661.0</v>
      </c>
      <c r="B658" s="3" t="s">
        <v>1020</v>
      </c>
      <c r="C658" s="2">
        <v>5.70054375565E11</v>
      </c>
      <c r="D658" s="3" t="s">
        <v>1958</v>
      </c>
      <c r="E658" s="3" t="s">
        <v>1959</v>
      </c>
      <c r="F658" s="3" t="s">
        <v>1643</v>
      </c>
      <c r="G658" s="3" t="s">
        <v>144</v>
      </c>
      <c r="H658" s="4" t="s">
        <v>738</v>
      </c>
      <c r="I658" s="3"/>
      <c r="J658" s="3"/>
    </row>
    <row r="659" ht="15.75" customHeight="1">
      <c r="A659" s="2">
        <v>662.0</v>
      </c>
      <c r="B659" s="3" t="s">
        <v>1960</v>
      </c>
      <c r="C659" s="2">
        <v>5.70054375567E11</v>
      </c>
      <c r="D659" s="3" t="s">
        <v>231</v>
      </c>
      <c r="E659" s="3" t="s">
        <v>1961</v>
      </c>
      <c r="F659" s="3" t="s">
        <v>1329</v>
      </c>
      <c r="G659" s="3" t="s">
        <v>20</v>
      </c>
      <c r="H659" s="4" t="s">
        <v>738</v>
      </c>
      <c r="I659" s="3"/>
      <c r="J659" s="3"/>
    </row>
    <row r="660" ht="15.75" customHeight="1">
      <c r="A660" s="2">
        <v>663.0</v>
      </c>
      <c r="B660" s="3" t="s">
        <v>1962</v>
      </c>
      <c r="C660" s="2">
        <v>5.700540000421E12</v>
      </c>
      <c r="D660" s="3" t="s">
        <v>102</v>
      </c>
      <c r="E660" s="3" t="s">
        <v>1963</v>
      </c>
      <c r="F660" s="3" t="s">
        <v>1964</v>
      </c>
      <c r="G660" s="3" t="s">
        <v>48</v>
      </c>
      <c r="H660" s="4" t="s">
        <v>738</v>
      </c>
      <c r="I660" s="3"/>
      <c r="J660" s="3"/>
    </row>
    <row r="661" ht="15.75" customHeight="1">
      <c r="A661" s="2">
        <v>664.0</v>
      </c>
      <c r="B661" s="3" t="s">
        <v>1965</v>
      </c>
      <c r="C661" s="2">
        <v>5.700540000424E12</v>
      </c>
      <c r="D661" s="3" t="s">
        <v>1966</v>
      </c>
      <c r="E661" s="3" t="s">
        <v>1967</v>
      </c>
      <c r="F661" s="3" t="s">
        <v>1968</v>
      </c>
      <c r="G661" s="3" t="s">
        <v>156</v>
      </c>
      <c r="H661" s="4" t="s">
        <v>738</v>
      </c>
      <c r="I661" s="3"/>
      <c r="J661" s="3"/>
    </row>
    <row r="662" ht="15.75" customHeight="1">
      <c r="A662" s="2">
        <v>665.0</v>
      </c>
      <c r="B662" s="3" t="s">
        <v>1969</v>
      </c>
      <c r="C662" s="2">
        <v>5.700540000432E12</v>
      </c>
      <c r="D662" s="3" t="s">
        <v>576</v>
      </c>
      <c r="E662" s="3" t="s">
        <v>1970</v>
      </c>
      <c r="F662" s="3" t="s">
        <v>1971</v>
      </c>
      <c r="G662" s="3" t="s">
        <v>144</v>
      </c>
      <c r="H662" s="4" t="s">
        <v>738</v>
      </c>
      <c r="I662" s="3"/>
      <c r="J662" s="3"/>
    </row>
    <row r="663" ht="15.75" customHeight="1">
      <c r="A663" s="2">
        <v>666.0</v>
      </c>
      <c r="B663" s="3" t="s">
        <v>1972</v>
      </c>
      <c r="C663" s="2">
        <v>5.700540000433E12</v>
      </c>
      <c r="D663" s="3" t="s">
        <v>1973</v>
      </c>
      <c r="E663" s="3" t="s">
        <v>1974</v>
      </c>
      <c r="F663" s="3" t="s">
        <v>1975</v>
      </c>
      <c r="G663" s="3" t="s">
        <v>156</v>
      </c>
      <c r="H663" s="4" t="s">
        <v>738</v>
      </c>
      <c r="I663" s="3"/>
      <c r="J663" s="3"/>
    </row>
    <row r="664" ht="15.75" customHeight="1">
      <c r="A664" s="2">
        <v>667.0</v>
      </c>
      <c r="B664" s="3" t="s">
        <v>1976</v>
      </c>
      <c r="C664" s="2">
        <v>5.700540000436E12</v>
      </c>
      <c r="D664" s="3" t="s">
        <v>237</v>
      </c>
      <c r="E664" s="3" t="s">
        <v>1373</v>
      </c>
      <c r="F664" s="3" t="s">
        <v>1977</v>
      </c>
      <c r="G664" s="3" t="s">
        <v>48</v>
      </c>
      <c r="H664" s="4" t="s">
        <v>738</v>
      </c>
      <c r="I664" s="3"/>
      <c r="J664" s="3"/>
    </row>
    <row r="665" ht="15.75" customHeight="1">
      <c r="A665" s="2">
        <v>668.0</v>
      </c>
      <c r="B665" s="3" t="s">
        <v>1978</v>
      </c>
      <c r="C665" s="2">
        <v>5.700540000437E12</v>
      </c>
      <c r="D665" s="3" t="s">
        <v>1979</v>
      </c>
      <c r="E665" s="3" t="s">
        <v>1980</v>
      </c>
      <c r="F665" s="3" t="s">
        <v>1981</v>
      </c>
      <c r="G665" s="3" t="s">
        <v>48</v>
      </c>
      <c r="H665" s="4" t="s">
        <v>738</v>
      </c>
      <c r="I665" s="3"/>
      <c r="J665" s="3"/>
    </row>
    <row r="666" ht="15.75" customHeight="1">
      <c r="A666" s="2">
        <v>669.0</v>
      </c>
      <c r="B666" s="3" t="s">
        <v>1982</v>
      </c>
      <c r="C666" s="2">
        <v>5.70054000044E12</v>
      </c>
      <c r="D666" s="3" t="s">
        <v>1204</v>
      </c>
      <c r="E666" s="3" t="s">
        <v>1983</v>
      </c>
      <c r="F666" s="3" t="s">
        <v>1699</v>
      </c>
      <c r="G666" s="3" t="s">
        <v>27</v>
      </c>
      <c r="H666" s="4" t="s">
        <v>738</v>
      </c>
      <c r="I666" s="3"/>
      <c r="J666" s="3"/>
    </row>
    <row r="667" ht="15.75" customHeight="1">
      <c r="A667" s="2">
        <v>670.0</v>
      </c>
      <c r="B667" s="3" t="s">
        <v>453</v>
      </c>
      <c r="C667" s="2">
        <v>5.70054375569E11</v>
      </c>
      <c r="D667" s="3" t="s">
        <v>604</v>
      </c>
      <c r="E667" s="3" t="s">
        <v>1984</v>
      </c>
      <c r="F667" s="3" t="s">
        <v>1985</v>
      </c>
      <c r="G667" s="3" t="s">
        <v>48</v>
      </c>
      <c r="H667" s="4" t="s">
        <v>1986</v>
      </c>
      <c r="I667" s="3"/>
      <c r="J667" s="3"/>
    </row>
    <row r="668" ht="15.75" customHeight="1">
      <c r="A668" s="2">
        <v>671.0</v>
      </c>
      <c r="B668" s="3" t="s">
        <v>1987</v>
      </c>
      <c r="C668" s="2">
        <v>5.70054375572E11</v>
      </c>
      <c r="D668" s="3" t="s">
        <v>1988</v>
      </c>
      <c r="E668" s="3" t="s">
        <v>1989</v>
      </c>
      <c r="F668" s="3" t="s">
        <v>1990</v>
      </c>
      <c r="G668" s="3" t="s">
        <v>27</v>
      </c>
      <c r="H668" s="4" t="s">
        <v>738</v>
      </c>
      <c r="I668" s="3"/>
      <c r="J668" s="3"/>
    </row>
    <row r="669" ht="15.75" customHeight="1">
      <c r="A669" s="2">
        <v>672.0</v>
      </c>
      <c r="B669" s="3" t="s">
        <v>1991</v>
      </c>
      <c r="C669" s="2">
        <v>5.700540000442E12</v>
      </c>
      <c r="D669" s="3" t="s">
        <v>1992</v>
      </c>
      <c r="E669" s="3" t="s">
        <v>1993</v>
      </c>
      <c r="F669" s="3" t="s">
        <v>708</v>
      </c>
      <c r="G669" s="3" t="s">
        <v>27</v>
      </c>
      <c r="H669" s="4" t="s">
        <v>738</v>
      </c>
      <c r="I669" s="3"/>
      <c r="J669" s="3"/>
    </row>
    <row r="670" ht="15.75" customHeight="1">
      <c r="A670" s="2">
        <v>673.0</v>
      </c>
      <c r="B670" s="3" t="s">
        <v>1709</v>
      </c>
      <c r="C670" s="2">
        <v>5.70054375573E11</v>
      </c>
      <c r="D670" s="3" t="s">
        <v>1994</v>
      </c>
      <c r="E670" s="3" t="s">
        <v>1524</v>
      </c>
      <c r="F670" s="3" t="s">
        <v>1995</v>
      </c>
      <c r="G670" s="3" t="s">
        <v>20</v>
      </c>
      <c r="H670" s="4" t="s">
        <v>738</v>
      </c>
      <c r="I670" s="3"/>
      <c r="J670" s="3"/>
    </row>
    <row r="671" ht="15.75" customHeight="1">
      <c r="A671" s="2">
        <v>674.0</v>
      </c>
      <c r="B671" s="3" t="s">
        <v>1996</v>
      </c>
      <c r="C671" s="2">
        <v>5.70054375588E11</v>
      </c>
      <c r="D671" s="3" t="s">
        <v>1997</v>
      </c>
      <c r="E671" s="3" t="s">
        <v>1998</v>
      </c>
      <c r="F671" s="3" t="s">
        <v>1999</v>
      </c>
      <c r="G671" s="3" t="s">
        <v>20</v>
      </c>
      <c r="H671" s="4" t="s">
        <v>738</v>
      </c>
      <c r="I671" s="3"/>
      <c r="J671" s="3"/>
    </row>
    <row r="672" ht="15.75" customHeight="1">
      <c r="A672" s="2">
        <v>675.0</v>
      </c>
      <c r="B672" s="3" t="s">
        <v>2000</v>
      </c>
      <c r="C672" s="2">
        <v>5.70054375589E11</v>
      </c>
      <c r="D672" s="3" t="s">
        <v>2001</v>
      </c>
      <c r="E672" s="3" t="s">
        <v>1686</v>
      </c>
      <c r="F672" s="3" t="s">
        <v>2002</v>
      </c>
      <c r="G672" s="3" t="s">
        <v>48</v>
      </c>
      <c r="H672" s="4" t="s">
        <v>738</v>
      </c>
      <c r="I672" s="3"/>
      <c r="J672" s="3"/>
    </row>
    <row r="673" ht="15.75" customHeight="1">
      <c r="A673" s="2">
        <v>676.0</v>
      </c>
      <c r="B673" s="3" t="s">
        <v>2003</v>
      </c>
      <c r="C673" s="2">
        <v>5.7005437559E11</v>
      </c>
      <c r="D673" s="3" t="s">
        <v>35</v>
      </c>
      <c r="E673" s="3" t="s">
        <v>354</v>
      </c>
      <c r="F673" s="3" t="s">
        <v>2004</v>
      </c>
      <c r="G673" s="3" t="s">
        <v>144</v>
      </c>
      <c r="H673" s="4" t="s">
        <v>738</v>
      </c>
      <c r="I673" s="3"/>
      <c r="J673" s="3"/>
    </row>
    <row r="674" ht="15.75" customHeight="1">
      <c r="A674" s="2">
        <v>677.0</v>
      </c>
      <c r="B674" s="3" t="s">
        <v>1020</v>
      </c>
      <c r="C674" s="2">
        <v>5.70054375591E11</v>
      </c>
      <c r="D674" s="3" t="s">
        <v>1355</v>
      </c>
      <c r="E674" s="3" t="s">
        <v>1340</v>
      </c>
      <c r="F674" s="3" t="s">
        <v>2005</v>
      </c>
      <c r="G674" s="3" t="s">
        <v>144</v>
      </c>
      <c r="H674" s="4" t="s">
        <v>738</v>
      </c>
      <c r="I674" s="3"/>
      <c r="J674" s="3"/>
    </row>
    <row r="675" ht="15.75" customHeight="1">
      <c r="A675" s="2">
        <v>678.0</v>
      </c>
      <c r="B675" s="3" t="s">
        <v>2006</v>
      </c>
      <c r="C675" s="2">
        <v>5.70054375592E11</v>
      </c>
      <c r="D675" s="3" t="s">
        <v>432</v>
      </c>
      <c r="E675" s="3" t="s">
        <v>2007</v>
      </c>
      <c r="F675" s="3" t="s">
        <v>2008</v>
      </c>
      <c r="G675" s="3" t="s">
        <v>144</v>
      </c>
      <c r="H675" s="4" t="s">
        <v>2009</v>
      </c>
      <c r="I675" s="3"/>
      <c r="J675" s="3"/>
    </row>
    <row r="676" ht="15.75" customHeight="1">
      <c r="A676" s="2">
        <v>679.0</v>
      </c>
      <c r="B676" s="3" t="s">
        <v>2010</v>
      </c>
      <c r="C676" s="2">
        <v>5.70054375595E11</v>
      </c>
      <c r="D676" s="3" t="s">
        <v>2011</v>
      </c>
      <c r="E676" s="3" t="s">
        <v>2012</v>
      </c>
      <c r="F676" s="3" t="s">
        <v>2013</v>
      </c>
      <c r="G676" s="3" t="s">
        <v>156</v>
      </c>
      <c r="H676" s="4" t="s">
        <v>738</v>
      </c>
      <c r="I676" s="3"/>
      <c r="J676" s="3"/>
    </row>
    <row r="677" ht="15.75" customHeight="1">
      <c r="A677" s="2">
        <v>680.0</v>
      </c>
      <c r="B677" s="3" t="s">
        <v>2014</v>
      </c>
      <c r="C677" s="2">
        <v>5.700543756E11</v>
      </c>
      <c r="D677" s="3" t="s">
        <v>954</v>
      </c>
      <c r="E677" s="3" t="s">
        <v>1237</v>
      </c>
      <c r="F677" s="3" t="s">
        <v>2015</v>
      </c>
      <c r="G677" s="3" t="s">
        <v>156</v>
      </c>
      <c r="H677" s="4" t="s">
        <v>738</v>
      </c>
      <c r="I677" s="3"/>
      <c r="J677" s="3"/>
    </row>
    <row r="678" ht="15.75" customHeight="1">
      <c r="A678" s="2">
        <v>681.0</v>
      </c>
      <c r="B678" s="3" t="s">
        <v>2016</v>
      </c>
      <c r="C678" s="2">
        <v>5.70054375601E11</v>
      </c>
      <c r="D678" s="3" t="s">
        <v>2017</v>
      </c>
      <c r="E678" s="3" t="s">
        <v>2018</v>
      </c>
      <c r="F678" s="3" t="s">
        <v>1945</v>
      </c>
      <c r="G678" s="3" t="s">
        <v>40</v>
      </c>
      <c r="H678" s="4" t="s">
        <v>738</v>
      </c>
      <c r="I678" s="3"/>
      <c r="J678" s="3"/>
    </row>
    <row r="679" ht="15.75" customHeight="1">
      <c r="A679" s="2">
        <v>682.0</v>
      </c>
      <c r="B679" s="3" t="s">
        <v>1820</v>
      </c>
      <c r="C679" s="2">
        <v>5.70054375602E11</v>
      </c>
      <c r="D679" s="3" t="s">
        <v>362</v>
      </c>
      <c r="E679" s="3" t="s">
        <v>2019</v>
      </c>
      <c r="F679" s="3" t="s">
        <v>2020</v>
      </c>
      <c r="G679" s="3" t="s">
        <v>27</v>
      </c>
      <c r="H679" s="4" t="s">
        <v>738</v>
      </c>
      <c r="I679" s="3"/>
      <c r="J679" s="3"/>
    </row>
    <row r="680" ht="15.75" customHeight="1">
      <c r="A680" s="2">
        <v>683.0</v>
      </c>
      <c r="B680" s="3" t="s">
        <v>2021</v>
      </c>
      <c r="C680" s="2">
        <v>5.70054375603E11</v>
      </c>
      <c r="D680" s="3" t="s">
        <v>133</v>
      </c>
      <c r="E680" s="3" t="s">
        <v>2022</v>
      </c>
      <c r="F680" s="3" t="s">
        <v>2023</v>
      </c>
      <c r="G680" s="3" t="s">
        <v>632</v>
      </c>
      <c r="H680" s="4" t="s">
        <v>738</v>
      </c>
      <c r="I680" s="3"/>
      <c r="J680" s="3"/>
    </row>
    <row r="681" ht="15.75" customHeight="1">
      <c r="A681" s="2">
        <v>684.0</v>
      </c>
      <c r="B681" s="3" t="s">
        <v>2024</v>
      </c>
      <c r="C681" s="2">
        <v>5.70054375606E11</v>
      </c>
      <c r="D681" s="3" t="s">
        <v>1516</v>
      </c>
      <c r="E681" s="3" t="s">
        <v>2025</v>
      </c>
      <c r="F681" s="3" t="s">
        <v>2026</v>
      </c>
      <c r="G681" s="3" t="s">
        <v>632</v>
      </c>
      <c r="H681" s="4" t="s">
        <v>738</v>
      </c>
      <c r="I681" s="3"/>
      <c r="J681" s="3"/>
    </row>
    <row r="682" ht="15.75" customHeight="1">
      <c r="A682" s="2">
        <v>685.0</v>
      </c>
      <c r="B682" s="3" t="s">
        <v>2027</v>
      </c>
      <c r="C682" s="2">
        <v>5.70054375611E11</v>
      </c>
      <c r="D682" s="3" t="s">
        <v>279</v>
      </c>
      <c r="E682" s="3" t="s">
        <v>405</v>
      </c>
      <c r="F682" s="3" t="s">
        <v>2028</v>
      </c>
      <c r="G682" s="3" t="s">
        <v>48</v>
      </c>
      <c r="H682" s="4" t="s">
        <v>738</v>
      </c>
      <c r="I682" s="3"/>
      <c r="J682" s="3"/>
    </row>
    <row r="683" ht="15.75" customHeight="1">
      <c r="A683" s="2">
        <v>686.0</v>
      </c>
      <c r="B683" s="3" t="s">
        <v>1242</v>
      </c>
      <c r="C683" s="2">
        <v>5.70054375615E11</v>
      </c>
      <c r="D683" s="3" t="s">
        <v>837</v>
      </c>
      <c r="E683" s="3" t="s">
        <v>2029</v>
      </c>
      <c r="F683" s="3" t="s">
        <v>2030</v>
      </c>
      <c r="G683" s="3" t="s">
        <v>632</v>
      </c>
      <c r="H683" s="4" t="s">
        <v>738</v>
      </c>
      <c r="I683" s="3"/>
      <c r="J683" s="3"/>
    </row>
    <row r="684" ht="15.75" customHeight="1">
      <c r="A684" s="2">
        <v>687.0</v>
      </c>
      <c r="B684" s="3" t="s">
        <v>326</v>
      </c>
      <c r="C684" s="2">
        <v>5.70054375616E11</v>
      </c>
      <c r="D684" s="3" t="s">
        <v>381</v>
      </c>
      <c r="E684" s="3" t="s">
        <v>77</v>
      </c>
      <c r="F684" s="3" t="s">
        <v>2031</v>
      </c>
      <c r="G684" s="3" t="s">
        <v>632</v>
      </c>
      <c r="H684" s="4" t="s">
        <v>738</v>
      </c>
      <c r="I684" s="3"/>
      <c r="J684" s="3"/>
    </row>
    <row r="685" ht="15.75" customHeight="1">
      <c r="A685" s="2">
        <v>688.0</v>
      </c>
      <c r="B685" s="3" t="s">
        <v>1225</v>
      </c>
      <c r="C685" s="2">
        <v>5.70054375624E11</v>
      </c>
      <c r="D685" s="3" t="s">
        <v>398</v>
      </c>
      <c r="E685" s="3" t="s">
        <v>2032</v>
      </c>
      <c r="F685" s="3" t="s">
        <v>2033</v>
      </c>
      <c r="G685" s="3" t="s">
        <v>632</v>
      </c>
      <c r="H685" s="4" t="s">
        <v>738</v>
      </c>
      <c r="I685" s="3"/>
      <c r="J685" s="3"/>
    </row>
    <row r="686" ht="15.75" customHeight="1">
      <c r="A686" s="2">
        <v>689.0</v>
      </c>
      <c r="B686" s="3" t="s">
        <v>2034</v>
      </c>
      <c r="C686" s="2">
        <v>5.70054375628E11</v>
      </c>
      <c r="D686" s="3" t="s">
        <v>837</v>
      </c>
      <c r="E686" s="3" t="s">
        <v>2035</v>
      </c>
      <c r="F686" s="3" t="s">
        <v>2036</v>
      </c>
      <c r="G686" s="3" t="s">
        <v>156</v>
      </c>
      <c r="H686" s="4" t="s">
        <v>738</v>
      </c>
      <c r="I686" s="3"/>
      <c r="J686" s="3"/>
    </row>
    <row r="687" ht="15.75" customHeight="1">
      <c r="A687" s="2">
        <v>690.0</v>
      </c>
      <c r="B687" s="3" t="s">
        <v>2037</v>
      </c>
      <c r="C687" s="2">
        <v>5.7005437563E11</v>
      </c>
      <c r="D687" s="3" t="s">
        <v>793</v>
      </c>
      <c r="E687" s="3" t="s">
        <v>1847</v>
      </c>
      <c r="F687" s="3" t="s">
        <v>2038</v>
      </c>
      <c r="G687" s="3" t="s">
        <v>48</v>
      </c>
      <c r="H687" s="4" t="s">
        <v>738</v>
      </c>
      <c r="I687" s="3"/>
      <c r="J687" s="3"/>
    </row>
    <row r="688" ht="15.75" customHeight="1">
      <c r="A688" s="2">
        <v>691.0</v>
      </c>
      <c r="B688" s="3" t="s">
        <v>2039</v>
      </c>
      <c r="C688" s="2">
        <v>5.70054375639E11</v>
      </c>
      <c r="D688" s="3" t="s">
        <v>940</v>
      </c>
      <c r="E688" s="3" t="s">
        <v>423</v>
      </c>
      <c r="F688" s="3" t="s">
        <v>2040</v>
      </c>
      <c r="G688" s="3" t="s">
        <v>156</v>
      </c>
      <c r="H688" s="4" t="s">
        <v>738</v>
      </c>
      <c r="I688" s="3"/>
      <c r="J688" s="3"/>
    </row>
    <row r="689" ht="15.75" customHeight="1">
      <c r="A689" s="2">
        <v>692.0</v>
      </c>
      <c r="B689" s="3" t="s">
        <v>2041</v>
      </c>
      <c r="C689" s="2">
        <v>5.70054375641E11</v>
      </c>
      <c r="D689" s="3" t="s">
        <v>2042</v>
      </c>
      <c r="E689" s="3" t="s">
        <v>1360</v>
      </c>
      <c r="F689" s="3" t="s">
        <v>2043</v>
      </c>
      <c r="G689" s="3" t="s">
        <v>156</v>
      </c>
      <c r="H689" s="4" t="s">
        <v>738</v>
      </c>
      <c r="I689" s="3"/>
      <c r="J689" s="3"/>
    </row>
    <row r="690" ht="15.75" customHeight="1">
      <c r="A690" s="2">
        <v>693.0</v>
      </c>
      <c r="B690" s="3" t="s">
        <v>2044</v>
      </c>
      <c r="C690" s="2">
        <v>5.70054375645E11</v>
      </c>
      <c r="D690" s="3" t="s">
        <v>2045</v>
      </c>
      <c r="E690" s="3" t="s">
        <v>2046</v>
      </c>
      <c r="F690" s="3" t="s">
        <v>2047</v>
      </c>
      <c r="G690" s="3" t="s">
        <v>156</v>
      </c>
      <c r="H690" s="4" t="s">
        <v>738</v>
      </c>
      <c r="I690" s="3"/>
      <c r="J690" s="3"/>
    </row>
    <row r="691" ht="15.75" customHeight="1">
      <c r="A691" s="2">
        <v>694.0</v>
      </c>
      <c r="B691" s="3" t="s">
        <v>2048</v>
      </c>
      <c r="C691" s="2">
        <v>5.70054375647E11</v>
      </c>
      <c r="D691" s="3" t="s">
        <v>1084</v>
      </c>
      <c r="E691" s="3" t="s">
        <v>2049</v>
      </c>
      <c r="F691" s="3" t="s">
        <v>2050</v>
      </c>
      <c r="G691" s="3" t="s">
        <v>144</v>
      </c>
      <c r="H691" s="4" t="s">
        <v>738</v>
      </c>
      <c r="I691" s="3"/>
      <c r="J691" s="3"/>
    </row>
    <row r="692" ht="15.75" customHeight="1">
      <c r="A692" s="2">
        <v>695.0</v>
      </c>
      <c r="B692" s="3" t="s">
        <v>2051</v>
      </c>
      <c r="C692" s="2">
        <v>5.70054375648E11</v>
      </c>
      <c r="D692" s="3" t="s">
        <v>576</v>
      </c>
      <c r="E692" s="3" t="s">
        <v>1970</v>
      </c>
      <c r="F692" s="3" t="s">
        <v>2052</v>
      </c>
      <c r="G692" s="3" t="s">
        <v>144</v>
      </c>
      <c r="H692" s="4" t="s">
        <v>2053</v>
      </c>
      <c r="I692" s="3"/>
      <c r="J692" s="3"/>
    </row>
    <row r="693" ht="15.75" customHeight="1">
      <c r="A693" s="2">
        <v>696.0</v>
      </c>
      <c r="B693" s="3" t="s">
        <v>2054</v>
      </c>
      <c r="C693" s="2">
        <v>5.70054375596E11</v>
      </c>
      <c r="D693" s="3" t="s">
        <v>2055</v>
      </c>
      <c r="E693" s="3" t="s">
        <v>2056</v>
      </c>
      <c r="F693" s="3" t="s">
        <v>2057</v>
      </c>
      <c r="G693" s="3" t="s">
        <v>27</v>
      </c>
      <c r="H693" s="4" t="s">
        <v>738</v>
      </c>
      <c r="I693" s="3"/>
      <c r="J693" s="3"/>
    </row>
    <row r="694" ht="15.75" customHeight="1">
      <c r="A694" s="2">
        <v>697.0</v>
      </c>
      <c r="B694" s="3" t="s">
        <v>2058</v>
      </c>
      <c r="C694" s="2">
        <v>5.70054375649E11</v>
      </c>
      <c r="D694" s="3" t="s">
        <v>2059</v>
      </c>
      <c r="E694" s="3" t="s">
        <v>1498</v>
      </c>
      <c r="F694" s="3" t="s">
        <v>2060</v>
      </c>
      <c r="G694" s="3" t="s">
        <v>184</v>
      </c>
      <c r="H694" s="4" t="s">
        <v>738</v>
      </c>
      <c r="I694" s="3"/>
      <c r="J694" s="3"/>
    </row>
    <row r="695" ht="15.75" customHeight="1">
      <c r="A695" s="2">
        <v>698.0</v>
      </c>
      <c r="B695" s="3" t="s">
        <v>720</v>
      </c>
      <c r="C695" s="2">
        <v>5.70054375651E11</v>
      </c>
      <c r="D695" s="3" t="s">
        <v>2061</v>
      </c>
      <c r="E695" s="3" t="s">
        <v>2062</v>
      </c>
      <c r="F695" s="3" t="s">
        <v>380</v>
      </c>
      <c r="G695" s="3" t="s">
        <v>184</v>
      </c>
      <c r="H695" s="4" t="s">
        <v>738</v>
      </c>
      <c r="I695" s="3"/>
      <c r="J695" s="3"/>
    </row>
    <row r="696" ht="15.75" customHeight="1">
      <c r="A696" s="2">
        <v>699.0</v>
      </c>
      <c r="B696" s="3" t="s">
        <v>2063</v>
      </c>
      <c r="C696" s="2">
        <v>5.700540000231E12</v>
      </c>
      <c r="D696" s="3" t="s">
        <v>906</v>
      </c>
      <c r="E696" s="3" t="s">
        <v>2064</v>
      </c>
      <c r="F696" s="3" t="s">
        <v>2065</v>
      </c>
      <c r="G696" s="3" t="s">
        <v>48</v>
      </c>
      <c r="H696" s="4" t="s">
        <v>738</v>
      </c>
      <c r="I696" s="3"/>
      <c r="J696" s="3"/>
    </row>
    <row r="697" ht="15.75" customHeight="1">
      <c r="A697" s="2">
        <v>700.0</v>
      </c>
      <c r="B697" s="3" t="s">
        <v>2066</v>
      </c>
      <c r="C697" s="2">
        <v>5.70054000246E11</v>
      </c>
      <c r="D697" s="3" t="s">
        <v>696</v>
      </c>
      <c r="E697" s="3" t="s">
        <v>2067</v>
      </c>
      <c r="F697" s="3" t="s">
        <v>2068</v>
      </c>
      <c r="G697" s="3" t="s">
        <v>48</v>
      </c>
      <c r="H697" s="4" t="s">
        <v>738</v>
      </c>
      <c r="I697" s="3"/>
      <c r="J697" s="3"/>
    </row>
    <row r="698" ht="15.75" customHeight="1">
      <c r="A698" s="2">
        <v>701.0</v>
      </c>
      <c r="B698" s="3" t="s">
        <v>2069</v>
      </c>
      <c r="C698" s="2">
        <v>5.70054000454E11</v>
      </c>
      <c r="D698" s="3" t="s">
        <v>2070</v>
      </c>
      <c r="E698" s="3" t="s">
        <v>2071</v>
      </c>
      <c r="F698" s="3" t="s">
        <v>2072</v>
      </c>
      <c r="G698" s="3" t="s">
        <v>48</v>
      </c>
      <c r="H698" s="4" t="s">
        <v>738</v>
      </c>
      <c r="I698" s="3"/>
      <c r="J698" s="3"/>
    </row>
    <row r="699" ht="15.75" customHeight="1">
      <c r="A699" s="2">
        <v>702.0</v>
      </c>
      <c r="B699" s="3" t="s">
        <v>2073</v>
      </c>
      <c r="C699" s="2">
        <v>5.70054000458E11</v>
      </c>
      <c r="D699" s="3" t="s">
        <v>237</v>
      </c>
      <c r="E699" s="3" t="s">
        <v>1227</v>
      </c>
      <c r="F699" s="3" t="s">
        <v>2074</v>
      </c>
      <c r="G699" s="3" t="s">
        <v>27</v>
      </c>
      <c r="H699" s="4" t="s">
        <v>738</v>
      </c>
      <c r="I699" s="3"/>
      <c r="J699" s="3"/>
    </row>
    <row r="700" ht="15.75" customHeight="1">
      <c r="A700" s="2">
        <v>703.0</v>
      </c>
      <c r="B700" s="3" t="s">
        <v>1633</v>
      </c>
      <c r="C700" s="2">
        <v>5.70054375653E11</v>
      </c>
      <c r="D700" s="3" t="s">
        <v>2075</v>
      </c>
      <c r="E700" s="3" t="s">
        <v>1704</v>
      </c>
      <c r="F700" s="3" t="s">
        <v>2076</v>
      </c>
      <c r="G700" s="3" t="s">
        <v>144</v>
      </c>
      <c r="H700" s="4" t="s">
        <v>738</v>
      </c>
      <c r="I700" s="3"/>
      <c r="J700" s="3"/>
    </row>
    <row r="701" ht="15.75" customHeight="1">
      <c r="A701" s="2">
        <v>704.0</v>
      </c>
      <c r="B701" s="3" t="s">
        <v>2077</v>
      </c>
      <c r="C701" s="2">
        <v>5.70054375654E11</v>
      </c>
      <c r="D701" s="3" t="s">
        <v>2078</v>
      </c>
      <c r="E701" s="3" t="s">
        <v>2079</v>
      </c>
      <c r="F701" s="3" t="s">
        <v>2080</v>
      </c>
      <c r="G701" s="3" t="s">
        <v>144</v>
      </c>
      <c r="H701" s="4" t="s">
        <v>2081</v>
      </c>
      <c r="I701" s="3"/>
      <c r="J701" s="3"/>
    </row>
    <row r="702" ht="15.75" customHeight="1">
      <c r="A702" s="2">
        <v>705.0</v>
      </c>
      <c r="B702" s="3" t="s">
        <v>2082</v>
      </c>
      <c r="C702" s="2">
        <v>5.70054375655E11</v>
      </c>
      <c r="D702" s="3" t="s">
        <v>130</v>
      </c>
      <c r="E702" s="3" t="s">
        <v>2083</v>
      </c>
      <c r="F702" s="3" t="s">
        <v>2084</v>
      </c>
      <c r="G702" s="3" t="s">
        <v>27</v>
      </c>
      <c r="H702" s="4" t="s">
        <v>2085</v>
      </c>
      <c r="I702" s="3"/>
      <c r="J702" s="3"/>
    </row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2086</v>
      </c>
      <c r="B1" s="1" t="str">
        <f>IFERROR(__xludf.DUMMYFUNCTION("SPLIT(A1,"","")"),"ক্রমিক নং")</f>
        <v>ক্রমিক নং</v>
      </c>
      <c r="C1" s="1" t="str">
        <f>IFERROR(__xludf.DUMMYFUNCTION("""COMPUTED_VALUE"""),"নাম")</f>
        <v>নাম</v>
      </c>
      <c r="D1" s="1" t="str">
        <f>IFERROR(__xludf.DUMMYFUNCTION("""COMPUTED_VALUE"""),"ভোটার নং")</f>
        <v>ভোটার নং</v>
      </c>
      <c r="E1" s="1" t="str">
        <f>IFERROR(__xludf.DUMMYFUNCTION("""COMPUTED_VALUE"""),"পিতা")</f>
        <v>পিতা</v>
      </c>
      <c r="F1" s="1" t="str">
        <f>IFERROR(__xludf.DUMMYFUNCTION("""COMPUTED_VALUE"""),"মাতা")</f>
        <v>মাতা</v>
      </c>
      <c r="G1" s="1" t="str">
        <f>IFERROR(__xludf.DUMMYFUNCTION("""COMPUTED_VALUE"""),"জন্ম তারিখ")</f>
        <v>জন্ম তারিখ</v>
      </c>
      <c r="H1" s="1" t="str">
        <f>IFERROR(__xludf.DUMMYFUNCTION("""COMPUTED_VALUE"""),"পেশা")</f>
        <v>পেশা</v>
      </c>
      <c r="I1" s="1" t="str">
        <f>IFERROR(__xludf.DUMMYFUNCTION("""COMPUTED_VALUE"""),"ঠিকানা")</f>
        <v>ঠিকানা</v>
      </c>
    </row>
    <row r="2">
      <c r="A2" s="6" t="s">
        <v>2087</v>
      </c>
      <c r="B2" s="1">
        <f>IFERROR(__xludf.DUMMYFUNCTION("SPLIT(A2,"","")"),1.0)</f>
        <v>1</v>
      </c>
      <c r="C2" s="1" t="str">
        <f>IFERROR(__xludf.DUMMYFUNCTION("""COMPUTED_VALUE"""),"মোঃ মহিবুল হক")</f>
        <v>মোঃ মহিবুল হক</v>
      </c>
      <c r="D2" s="1">
        <f>IFERROR(__xludf.DUMMYFUNCTION("""COMPUTED_VALUE"""),5.70054374003E11)</f>
        <v>570054374003</v>
      </c>
      <c r="E2" s="1" t="str">
        <f>IFERROR(__xludf.DUMMYFUNCTION("""COMPUTED_VALUE"""),"আজিজুল হক")</f>
        <v>আজিজুল হক</v>
      </c>
      <c r="F2" s="1" t="str">
        <f>IFERROR(__xludf.DUMMYFUNCTION("""COMPUTED_VALUE"""),"মোছাঃ আয়েশা খাতুন")</f>
        <v>মোছাঃ আয়েশা খাতুন</v>
      </c>
      <c r="G2" s="1" t="str">
        <f>IFERROR(__xludf.DUMMYFUNCTION("""COMPUTED_VALUE"""),"১৫/০৪/১৯৬৫")</f>
        <v>১৫/০৪/১৯৬৫</v>
      </c>
      <c r="H2" s="1" t="str">
        <f>IFERROR(__xludf.DUMMYFUNCTION("""COMPUTED_VALUE"""),"সরকারী চাকুরী")</f>
        <v>সরকারী চাকুরী</v>
      </c>
      <c r="I2" s="1" t="str">
        <f>IFERROR(__xludf.DUMMYFUNCTION("""COMPUTED_VALUE"""),"মহিষাখোলা")</f>
        <v>মহিষাখোলা</v>
      </c>
      <c r="J2" s="1" t="str">
        <f>IFERROR(__xludf.DUMMYFUNCTION("""COMPUTED_VALUE""")," গাংনী")</f>
        <v> গাংনী</v>
      </c>
      <c r="K2" s="1" t="str">
        <f>IFERROR(__xludf.DUMMYFUNCTION("""COMPUTED_VALUE""")," মেহেরপুর")</f>
        <v> মেহেরপুর</v>
      </c>
    </row>
    <row r="3">
      <c r="A3" s="6" t="s">
        <v>2088</v>
      </c>
      <c r="B3" s="1">
        <f>IFERROR(__xludf.DUMMYFUNCTION("SPLIT(A3,"","")"),2.0)</f>
        <v>2</v>
      </c>
      <c r="C3" s="1" t="str">
        <f>IFERROR(__xludf.DUMMYFUNCTION("""COMPUTED_VALUE"""),"মোঃ আঃ লতিফ")</f>
        <v>মোঃ আঃ লতিফ</v>
      </c>
      <c r="D3" s="1">
        <f>IFERROR(__xludf.DUMMYFUNCTION("""COMPUTED_VALUE"""),5.70054374011E11)</f>
        <v>570054374011</v>
      </c>
      <c r="E3" s="1" t="str">
        <f>IFERROR(__xludf.DUMMYFUNCTION("""COMPUTED_VALUE"""),"মোঃ আব্দুল রশিদ")</f>
        <v>মোঃ আব্দুল রশিদ</v>
      </c>
      <c r="F3" s="1" t="str">
        <f>IFERROR(__xludf.DUMMYFUNCTION("""COMPUTED_VALUE"""),"রুপিয়া খাতুন")</f>
        <v>রুপিয়া খাতুন</v>
      </c>
      <c r="G3" s="1" t="str">
        <f>IFERROR(__xludf.DUMMYFUNCTION("""COMPUTED_VALUE"""),"১২/০৫/১৯৫৭")</f>
        <v>১২/০৫/১৯৫৭</v>
      </c>
      <c r="H3" s="1" t="str">
        <f>IFERROR(__xludf.DUMMYFUNCTION("""COMPUTED_VALUE"""),"ব্যবসা")</f>
        <v>ব্যবসা</v>
      </c>
      <c r="I3" s="1" t="str">
        <f>IFERROR(__xludf.DUMMYFUNCTION("""COMPUTED_VALUE"""),"মহিষাখোলা")</f>
        <v>মহিষাখোলা</v>
      </c>
      <c r="J3" s="1" t="str">
        <f>IFERROR(__xludf.DUMMYFUNCTION("""COMPUTED_VALUE""")," গাংনী")</f>
        <v> গাংনী</v>
      </c>
      <c r="K3" s="1" t="str">
        <f>IFERROR(__xludf.DUMMYFUNCTION("""COMPUTED_VALUE""")," মেহেরপুর")</f>
        <v> মেহেরপুর</v>
      </c>
    </row>
    <row r="4">
      <c r="A4" s="6" t="s">
        <v>2089</v>
      </c>
      <c r="B4" s="1">
        <f>IFERROR(__xludf.DUMMYFUNCTION("SPLIT(A4,"","")"),3.0)</f>
        <v>3</v>
      </c>
      <c r="C4" s="1" t="str">
        <f>IFERROR(__xludf.DUMMYFUNCTION("""COMPUTED_VALUE"""),"মোহাঃ ওহিদুল আলম")</f>
        <v>মোহাঃ ওহিদুল আলম</v>
      </c>
      <c r="D4" s="1">
        <f>IFERROR(__xludf.DUMMYFUNCTION("""COMPUTED_VALUE"""),5.70054374018E11)</f>
        <v>570054374018</v>
      </c>
      <c r="E4" s="1" t="str">
        <f>IFERROR(__xludf.DUMMYFUNCTION("""COMPUTED_VALUE"""),"ইছাহক আলী বিশ্বাস")</f>
        <v>ইছাহক আলী বিশ্বাস</v>
      </c>
      <c r="F4" s="1" t="str">
        <f>IFERROR(__xludf.DUMMYFUNCTION("""COMPUTED_VALUE"""),"মোছাঃ জমেলা খাতুন")</f>
        <v>মোছাঃ জমেলা খাতুন</v>
      </c>
      <c r="G4" s="1" t="str">
        <f>IFERROR(__xludf.DUMMYFUNCTION("""COMPUTED_VALUE"""),"১২/১০/১৯৪৯")</f>
        <v>১২/১০/১৯৪৯</v>
      </c>
      <c r="H4" s="1" t="str">
        <f>IFERROR(__xludf.DUMMYFUNCTION("""COMPUTED_VALUE"""),"ব্যবসা")</f>
        <v>ব্যবসা</v>
      </c>
      <c r="I4" s="1" t="str">
        <f>IFERROR(__xludf.DUMMYFUNCTION("""COMPUTED_VALUE"""),"মহিষাখোলা")</f>
        <v>মহিষাখোলা</v>
      </c>
      <c r="J4" s="1" t="str">
        <f>IFERROR(__xludf.DUMMYFUNCTION("""COMPUTED_VALUE""")," গাংনী")</f>
        <v> গাংনী</v>
      </c>
      <c r="K4" s="1" t="str">
        <f>IFERROR(__xludf.DUMMYFUNCTION("""COMPUTED_VALUE""")," মেহেরপুর")</f>
        <v> মেহেরপুর</v>
      </c>
    </row>
    <row r="5">
      <c r="A5" s="6" t="s">
        <v>2090</v>
      </c>
      <c r="B5" s="1">
        <f>IFERROR(__xludf.DUMMYFUNCTION("SPLIT(A5,"","")"),4.0)</f>
        <v>4</v>
      </c>
      <c r="C5" s="1" t="str">
        <f>IFERROR(__xludf.DUMMYFUNCTION("""COMPUTED_VALUE"""),"মোহাঃ ফেরদৌস আলী")</f>
        <v>মোহাঃ ফেরদৌস আলী</v>
      </c>
      <c r="D5" s="1">
        <f>IFERROR(__xludf.DUMMYFUNCTION("""COMPUTED_VALUE"""),5.70054374019E11)</f>
        <v>570054374019</v>
      </c>
      <c r="E5" s="1" t="str">
        <f>IFERROR(__xludf.DUMMYFUNCTION("""COMPUTED_VALUE"""),"ইছাহক আলী বিশ্বাস")</f>
        <v>ইছাহক আলী বিশ্বাস</v>
      </c>
      <c r="F5" s="1" t="str">
        <f>IFERROR(__xludf.DUMMYFUNCTION("""COMPUTED_VALUE"""),"মোছাঃ জমেলা খাতুন")</f>
        <v>মোছাঃ জমেলা খাতুন</v>
      </c>
      <c r="G5" s="1" t="str">
        <f>IFERROR(__xludf.DUMMYFUNCTION("""COMPUTED_VALUE"""),"১২/১০/১৯৬০")</f>
        <v>১২/১০/১৯৬০</v>
      </c>
      <c r="H5" s="1" t="str">
        <f>IFERROR(__xludf.DUMMYFUNCTION("""COMPUTED_VALUE"""),"কৃষক")</f>
        <v>কৃষক</v>
      </c>
      <c r="I5" s="1" t="str">
        <f>IFERROR(__xludf.DUMMYFUNCTION("""COMPUTED_VALUE"""),"মহিষাখোলা")</f>
        <v>মহিষাখোলা</v>
      </c>
      <c r="J5" s="1" t="str">
        <f>IFERROR(__xludf.DUMMYFUNCTION("""COMPUTED_VALUE""")," গাংনী")</f>
        <v> গাংনী</v>
      </c>
      <c r="K5" s="1" t="str">
        <f>IFERROR(__xludf.DUMMYFUNCTION("""COMPUTED_VALUE""")," মেহেরপুর")</f>
        <v> মেহেরপুর</v>
      </c>
    </row>
    <row r="6">
      <c r="A6" s="6" t="s">
        <v>2091</v>
      </c>
      <c r="B6" s="1">
        <f>IFERROR(__xludf.DUMMYFUNCTION("SPLIT(A6,"","")"),5.0)</f>
        <v>5</v>
      </c>
      <c r="C6" s="1" t="str">
        <f>IFERROR(__xludf.DUMMYFUNCTION("""COMPUTED_VALUE"""),"মোঃ ফরিদ আলি")</f>
        <v>মোঃ ফরিদ আলি</v>
      </c>
      <c r="D6" s="1">
        <f>IFERROR(__xludf.DUMMYFUNCTION("""COMPUTED_VALUE"""),5.70054374024E11)</f>
        <v>570054374024</v>
      </c>
      <c r="E6" s="1" t="str">
        <f>IFERROR(__xludf.DUMMYFUNCTION("""COMPUTED_VALUE"""),"তাহাজুদ্দীন")</f>
        <v>তাহাজুদ্দীন</v>
      </c>
      <c r="F6" s="1" t="str">
        <f>IFERROR(__xludf.DUMMYFUNCTION("""COMPUTED_VALUE"""),"মোছাঃ বিবিজান")</f>
        <v>মোছাঃ বিবিজান</v>
      </c>
      <c r="G6" s="1" t="str">
        <f>IFERROR(__xludf.DUMMYFUNCTION("""COMPUTED_VALUE"""),"১২/১০/১৯৮৫")</f>
        <v>১২/১০/১৯৮৫</v>
      </c>
      <c r="H6" s="1" t="str">
        <f>IFERROR(__xludf.DUMMYFUNCTION("""COMPUTED_VALUE"""),"কৃষক")</f>
        <v>কৃষক</v>
      </c>
      <c r="I6" s="1" t="str">
        <f>IFERROR(__xludf.DUMMYFUNCTION("""COMPUTED_VALUE"""),"মহিষাখোলা")</f>
        <v>মহিষাখোলা</v>
      </c>
      <c r="J6" s="1" t="str">
        <f>IFERROR(__xludf.DUMMYFUNCTION("""COMPUTED_VALUE""")," গাংনী")</f>
        <v> গাংনী</v>
      </c>
      <c r="K6" s="1" t="str">
        <f>IFERROR(__xludf.DUMMYFUNCTION("""COMPUTED_VALUE""")," মেহেরপুর")</f>
        <v> মেহেরপুর</v>
      </c>
    </row>
    <row r="7">
      <c r="A7" s="6" t="s">
        <v>2092</v>
      </c>
      <c r="B7" s="1">
        <f>IFERROR(__xludf.DUMMYFUNCTION("SPLIT(A7,"","")"),6.0)</f>
        <v>6</v>
      </c>
      <c r="C7" s="1" t="str">
        <f>IFERROR(__xludf.DUMMYFUNCTION("""COMPUTED_VALUE"""),"মোহাঃ ছাইফুল ইসলাম")</f>
        <v>মোহাঃ ছাইফুল ইসলাম</v>
      </c>
      <c r="D7" s="1">
        <f>IFERROR(__xludf.DUMMYFUNCTION("""COMPUTED_VALUE"""),5.70054374025E11)</f>
        <v>570054374025</v>
      </c>
      <c r="E7" s="1" t="str">
        <f>IFERROR(__xludf.DUMMYFUNCTION("""COMPUTED_VALUE"""),"মোহাঃ ফেরদৌস আলী")</f>
        <v>মোহাঃ ফেরদৌস আলী</v>
      </c>
      <c r="F7" s="1" t="str">
        <f>IFERROR(__xludf.DUMMYFUNCTION("""COMPUTED_VALUE"""),"মোহাঃ কোহিনুর বেগম")</f>
        <v>মোহাঃ কোহিনুর বেগম</v>
      </c>
      <c r="G7" s="1" t="str">
        <f>IFERROR(__xludf.DUMMYFUNCTION("""COMPUTED_VALUE"""),"১২/১০/১৯৮২")</f>
        <v>১২/১০/১৯৮২</v>
      </c>
      <c r="H7" s="1" t="str">
        <f>IFERROR(__xludf.DUMMYFUNCTION("""COMPUTED_VALUE"""),"কৃষক")</f>
        <v>কৃষক</v>
      </c>
      <c r="I7" s="1" t="str">
        <f>IFERROR(__xludf.DUMMYFUNCTION("""COMPUTED_VALUE"""),"মহিষাখোলা")</f>
        <v>মহিষাখোলা</v>
      </c>
      <c r="J7" s="1" t="str">
        <f>IFERROR(__xludf.DUMMYFUNCTION("""COMPUTED_VALUE""")," গাংনী")</f>
        <v> গাংনী</v>
      </c>
      <c r="K7" s="1" t="str">
        <f>IFERROR(__xludf.DUMMYFUNCTION("""COMPUTED_VALUE""")," মেহেরপুর")</f>
        <v> মেহেরপুর</v>
      </c>
    </row>
    <row r="8">
      <c r="A8" s="6" t="s">
        <v>2093</v>
      </c>
      <c r="B8" s="1">
        <f>IFERROR(__xludf.DUMMYFUNCTION("SPLIT(A8,"","")"),7.0)</f>
        <v>7</v>
      </c>
      <c r="C8" s="1" t="str">
        <f>IFERROR(__xludf.DUMMYFUNCTION("""COMPUTED_VALUE"""),"মোঃ জহুরুল ইসলাম")</f>
        <v>মোঃ জহুরুল ইসলাম</v>
      </c>
      <c r="D8" s="1">
        <f>IFERROR(__xludf.DUMMYFUNCTION("""COMPUTED_VALUE"""),5.70054374028E11)</f>
        <v>570054374028</v>
      </c>
      <c r="E8" s="1" t="str">
        <f>IFERROR(__xludf.DUMMYFUNCTION("""COMPUTED_VALUE"""),"তাহাজুদ্দীন")</f>
        <v>তাহাজুদ্দীন</v>
      </c>
      <c r="F8" s="1" t="str">
        <f>IFERROR(__xludf.DUMMYFUNCTION("""COMPUTED_VALUE"""),"মোছাঃ বিবিজান")</f>
        <v>মোছাঃ বিবিজান</v>
      </c>
      <c r="G8" s="1" t="str">
        <f>IFERROR(__xludf.DUMMYFUNCTION("""COMPUTED_VALUE"""),"১২/১০/১৯৮২")</f>
        <v>১২/১০/১৯৮২</v>
      </c>
      <c r="H8" s="1" t="str">
        <f>IFERROR(__xludf.DUMMYFUNCTION("""COMPUTED_VALUE"""),"কৃষক")</f>
        <v>কৃষক</v>
      </c>
      <c r="I8" s="1" t="str">
        <f>IFERROR(__xludf.DUMMYFUNCTION("""COMPUTED_VALUE"""),"মহিষাখোলা")</f>
        <v>মহিষাখোলা</v>
      </c>
      <c r="J8" s="1" t="str">
        <f>IFERROR(__xludf.DUMMYFUNCTION("""COMPUTED_VALUE""")," গাংনী")</f>
        <v> গাংনী</v>
      </c>
      <c r="K8" s="1" t="str">
        <f>IFERROR(__xludf.DUMMYFUNCTION("""COMPUTED_VALUE""")," মেহেরপুর")</f>
        <v> মেহেরপুর</v>
      </c>
    </row>
    <row r="9">
      <c r="A9" s="6" t="s">
        <v>2094</v>
      </c>
      <c r="B9" s="1">
        <f>IFERROR(__xludf.DUMMYFUNCTION("SPLIT(A9,"","")"),8.0)</f>
        <v>8</v>
      </c>
      <c r="C9" s="1" t="str">
        <f>IFERROR(__xludf.DUMMYFUNCTION("""COMPUTED_VALUE"""),"মোঃ আশাদুল হক")</f>
        <v>মোঃ আশাদুল হক</v>
      </c>
      <c r="D9" s="1">
        <f>IFERROR(__xludf.DUMMYFUNCTION("""COMPUTED_VALUE"""),5.70054374041E11)</f>
        <v>570054374041</v>
      </c>
      <c r="E9" s="1" t="str">
        <f>IFERROR(__xludf.DUMMYFUNCTION("""COMPUTED_VALUE"""),"খেদের আলী")</f>
        <v>খেদের আলী</v>
      </c>
      <c r="F9" s="1" t="str">
        <f>IFERROR(__xludf.DUMMYFUNCTION("""COMPUTED_VALUE"""),"মোছাঃ ফাতেমা")</f>
        <v>মোছাঃ ফাতেমা</v>
      </c>
      <c r="G9" s="1" t="str">
        <f>IFERROR(__xludf.DUMMYFUNCTION("""COMPUTED_VALUE"""),"১২/০৫/১৯৭০")</f>
        <v>১২/০৫/১৯৭০</v>
      </c>
      <c r="H9" s="1" t="str">
        <f>IFERROR(__xludf.DUMMYFUNCTION("""COMPUTED_VALUE"""),"দিনমজুর")</f>
        <v>দিনমজুর</v>
      </c>
      <c r="I9" s="1" t="str">
        <f>IFERROR(__xludf.DUMMYFUNCTION("""COMPUTED_VALUE"""),"মহিষাখোলা")</f>
        <v>মহিষাখোলা</v>
      </c>
      <c r="J9" s="1" t="str">
        <f>IFERROR(__xludf.DUMMYFUNCTION("""COMPUTED_VALUE""")," গাংনী")</f>
        <v> গাংনী</v>
      </c>
      <c r="K9" s="1" t="str">
        <f>IFERROR(__xludf.DUMMYFUNCTION("""COMPUTED_VALUE""")," মেহেরপুর")</f>
        <v> মেহেরপুর</v>
      </c>
    </row>
    <row r="10">
      <c r="A10" s="6" t="s">
        <v>2095</v>
      </c>
      <c r="B10" s="1">
        <f>IFERROR(__xludf.DUMMYFUNCTION("SPLIT(A10,"","")"),9.0)</f>
        <v>9</v>
      </c>
      <c r="C10" s="1" t="str">
        <f>IFERROR(__xludf.DUMMYFUNCTION("""COMPUTED_VALUE"""),"মোঃ আমিরুদ্দীন")</f>
        <v>মোঃ আমিরুদ্দীন</v>
      </c>
      <c r="D10" s="1">
        <f>IFERROR(__xludf.DUMMYFUNCTION("""COMPUTED_VALUE"""),5.70054374042E11)</f>
        <v>570054374042</v>
      </c>
      <c r="E10" s="1" t="str">
        <f>IFERROR(__xludf.DUMMYFUNCTION("""COMPUTED_VALUE"""),"মোঃ সুবহান শেখ")</f>
        <v>মোঃ সুবহান শেখ</v>
      </c>
      <c r="F10" s="1" t="str">
        <f>IFERROR(__xludf.DUMMYFUNCTION("""COMPUTED_VALUE"""),"মোছাঃ রহিদা")</f>
        <v>মোছাঃ রহিদা</v>
      </c>
      <c r="G10" s="1" t="str">
        <f>IFERROR(__xludf.DUMMYFUNCTION("""COMPUTED_VALUE"""),"১০/০৫/১৯৫৫")</f>
        <v>১০/০৫/১৯৫৫</v>
      </c>
      <c r="H10" s="1" t="str">
        <f>IFERROR(__xludf.DUMMYFUNCTION("""COMPUTED_VALUE"""),"দিনমজুর")</f>
        <v>দিনমজুর</v>
      </c>
      <c r="I10" s="1" t="str">
        <f>IFERROR(__xludf.DUMMYFUNCTION("""COMPUTED_VALUE"""),"মহিষাখোলা")</f>
        <v>মহিষাখোলা</v>
      </c>
      <c r="J10" s="1" t="str">
        <f>IFERROR(__xludf.DUMMYFUNCTION("""COMPUTED_VALUE""")," গাংনী")</f>
        <v> গাংনী</v>
      </c>
      <c r="K10" s="1" t="str">
        <f>IFERROR(__xludf.DUMMYFUNCTION("""COMPUTED_VALUE""")," মেহেরপুর")</f>
        <v> মেহেরপুর</v>
      </c>
    </row>
    <row r="11">
      <c r="A11" s="6" t="s">
        <v>2096</v>
      </c>
      <c r="B11" s="1">
        <f>IFERROR(__xludf.DUMMYFUNCTION("SPLIT(A11,"","")"),10.0)</f>
        <v>10</v>
      </c>
      <c r="C11" s="1" t="str">
        <f>IFERROR(__xludf.DUMMYFUNCTION("""COMPUTED_VALUE"""),"মোঃ মহিবুল ইসলাম")</f>
        <v>মোঃ মহিবুল ইসলাম</v>
      </c>
      <c r="D11" s="1">
        <f>IFERROR(__xludf.DUMMYFUNCTION("""COMPUTED_VALUE"""),5.70054374044E11)</f>
        <v>570054374044</v>
      </c>
      <c r="E11" s="1" t="str">
        <f>IFERROR(__xludf.DUMMYFUNCTION("""COMPUTED_VALUE"""),"মোঃ আঃ লতিফ")</f>
        <v>মোঃ আঃ লতিফ</v>
      </c>
      <c r="F11" s="1" t="str">
        <f>IFERROR(__xludf.DUMMYFUNCTION("""COMPUTED_VALUE"""),"মোছাঃ সামেনা খাতুন")</f>
        <v>মোছাঃ সামেনা খাতুন</v>
      </c>
      <c r="G11" s="1" t="str">
        <f>IFERROR(__xludf.DUMMYFUNCTION("""COMPUTED_VALUE"""),"২৫/০৬/১৯৮৬")</f>
        <v>২৫/০৬/১৯৮৬</v>
      </c>
      <c r="H11" s="1" t="str">
        <f>IFERROR(__xludf.DUMMYFUNCTION("""COMPUTED_VALUE"""),"ছাত্র/ছাত্রী")</f>
        <v>ছাত্র/ছাত্রী</v>
      </c>
      <c r="I11" s="1" t="str">
        <f>IFERROR(__xludf.DUMMYFUNCTION("""COMPUTED_VALUE"""),"মহিষাখোলা")</f>
        <v>মহিষাখোলা</v>
      </c>
      <c r="J11" s="1" t="str">
        <f>IFERROR(__xludf.DUMMYFUNCTION("""COMPUTED_VALUE""")," গাংনী")</f>
        <v> গাংনী</v>
      </c>
      <c r="K11" s="1" t="str">
        <f>IFERROR(__xludf.DUMMYFUNCTION("""COMPUTED_VALUE""")," মেহেরপুর")</f>
        <v> মেহেরপুর</v>
      </c>
    </row>
    <row r="12">
      <c r="A12" s="6" t="s">
        <v>2097</v>
      </c>
      <c r="B12" s="1">
        <f>IFERROR(__xludf.DUMMYFUNCTION("SPLIT(A12,"","")"),11.0)</f>
        <v>11</v>
      </c>
      <c r="C12" s="1" t="str">
        <f>IFERROR(__xludf.DUMMYFUNCTION("""COMPUTED_VALUE"""),"মোঃ জমিরুল ইসলাম")</f>
        <v>মোঃ জমিরুল ইসলাম</v>
      </c>
      <c r="D12" s="1">
        <f>IFERROR(__xludf.DUMMYFUNCTION("""COMPUTED_VALUE"""),5.70054374045E11)</f>
        <v>570054374045</v>
      </c>
      <c r="E12" s="1" t="str">
        <f>IFERROR(__xludf.DUMMYFUNCTION("""COMPUTED_VALUE"""),"মোঃ সুবহান")</f>
        <v>মোঃ সুবহান</v>
      </c>
      <c r="F12" s="1" t="str">
        <f>IFERROR(__xludf.DUMMYFUNCTION("""COMPUTED_VALUE"""),"মোছাঃ রহিদা")</f>
        <v>মোছাঃ রহিদা</v>
      </c>
      <c r="G12" s="1" t="str">
        <f>IFERROR(__xludf.DUMMYFUNCTION("""COMPUTED_VALUE"""),"১০/১০/১৯৭৮")</f>
        <v>১০/১০/১৯৭৮</v>
      </c>
      <c r="H12" s="1" t="str">
        <f>IFERROR(__xludf.DUMMYFUNCTION("""COMPUTED_VALUE"""),"দিনমজুর")</f>
        <v>দিনমজুর</v>
      </c>
      <c r="I12" s="1" t="str">
        <f>IFERROR(__xludf.DUMMYFUNCTION("""COMPUTED_VALUE"""),"মহিষাখোলা")</f>
        <v>মহিষাখোলা</v>
      </c>
      <c r="J12" s="1" t="str">
        <f>IFERROR(__xludf.DUMMYFUNCTION("""COMPUTED_VALUE""")," গাংনী")</f>
        <v> গাংনী</v>
      </c>
      <c r="K12" s="1" t="str">
        <f>IFERROR(__xludf.DUMMYFUNCTION("""COMPUTED_VALUE""")," মেহেরপুর")</f>
        <v> মেহেরপুর</v>
      </c>
    </row>
    <row r="13">
      <c r="A13" s="6" t="s">
        <v>2098</v>
      </c>
      <c r="B13" s="1">
        <f>IFERROR(__xludf.DUMMYFUNCTION("SPLIT(A13,"","")"),12.0)</f>
        <v>12</v>
      </c>
      <c r="C13" s="1" t="str">
        <f>IFERROR(__xludf.DUMMYFUNCTION("""COMPUTED_VALUE"""),"মোঃ আসাদুল ইসলাম")</f>
        <v>মোঃ আসাদুল ইসলাম</v>
      </c>
      <c r="D13" s="1">
        <f>IFERROR(__xludf.DUMMYFUNCTION("""COMPUTED_VALUE"""),5.70054374046E11)</f>
        <v>570054374046</v>
      </c>
      <c r="E13" s="1" t="str">
        <f>IFERROR(__xludf.DUMMYFUNCTION("""COMPUTED_VALUE"""),"মোঃ আব্দুল মান্নান")</f>
        <v>মোঃ আব্দুল মান্নান</v>
      </c>
      <c r="F13" s="1" t="str">
        <f>IFERROR(__xludf.DUMMYFUNCTION("""COMPUTED_VALUE"""),"মোছাঃ আম্বিয়া খাতুন")</f>
        <v>মোছাঃ আম্বিয়া খাতুন</v>
      </c>
      <c r="G13" s="1" t="str">
        <f>IFERROR(__xludf.DUMMYFUNCTION("""COMPUTED_VALUE"""),"০৮/০৫/১৯৬৫")</f>
        <v>০৮/০৫/১৯৬৫</v>
      </c>
      <c r="H13" s="1" t="str">
        <f>IFERROR(__xludf.DUMMYFUNCTION("""COMPUTED_VALUE"""),"কৃষক")</f>
        <v>কৃষক</v>
      </c>
      <c r="I13" s="1" t="str">
        <f>IFERROR(__xludf.DUMMYFUNCTION("""COMPUTED_VALUE"""),"মহিষাখোলা")</f>
        <v>মহিষাখোলা</v>
      </c>
      <c r="J13" s="1" t="str">
        <f>IFERROR(__xludf.DUMMYFUNCTION("""COMPUTED_VALUE""")," গাংনী")</f>
        <v> গাংনী</v>
      </c>
      <c r="K13" s="1" t="str">
        <f>IFERROR(__xludf.DUMMYFUNCTION("""COMPUTED_VALUE""")," মেহেরপুর")</f>
        <v> মেহেরপুর</v>
      </c>
    </row>
    <row r="14">
      <c r="A14" s="6" t="s">
        <v>2099</v>
      </c>
      <c r="B14" s="1">
        <f>IFERROR(__xludf.DUMMYFUNCTION("SPLIT(A14,"","")"),13.0)</f>
        <v>13</v>
      </c>
      <c r="C14" s="1" t="str">
        <f>IFERROR(__xludf.DUMMYFUNCTION("""COMPUTED_VALUE"""),"মোঃ জাহিদুল ইসলাম")</f>
        <v>মোঃ জাহিদুল ইসলাম</v>
      </c>
      <c r="D14" s="1">
        <f>IFERROR(__xludf.DUMMYFUNCTION("""COMPUTED_VALUE"""),5.70054374047E11)</f>
        <v>570054374047</v>
      </c>
      <c r="E14" s="1" t="str">
        <f>IFERROR(__xludf.DUMMYFUNCTION("""COMPUTED_VALUE"""),"মোঃ আব্দুল মান্নান")</f>
        <v>মোঃ আব্দুল মান্নান</v>
      </c>
      <c r="F14" s="1" t="str">
        <f>IFERROR(__xludf.DUMMYFUNCTION("""COMPUTED_VALUE"""),"মোছাঃ আম্বিয়া খাতুন")</f>
        <v>মোছাঃ আম্বিয়া খাতুন</v>
      </c>
      <c r="G14" s="1" t="str">
        <f>IFERROR(__xludf.DUMMYFUNCTION("""COMPUTED_VALUE"""),"২৬/০৮/১৯৭২")</f>
        <v>২৬/০৮/১৯৭২</v>
      </c>
      <c r="H14" s="1" t="str">
        <f>IFERROR(__xludf.DUMMYFUNCTION("""COMPUTED_VALUE"""),"কৃষক")</f>
        <v>কৃষক</v>
      </c>
      <c r="I14" s="1" t="str">
        <f>IFERROR(__xludf.DUMMYFUNCTION("""COMPUTED_VALUE"""),"মহিষাখোলা")</f>
        <v>মহিষাখোলা</v>
      </c>
      <c r="J14" s="1" t="str">
        <f>IFERROR(__xludf.DUMMYFUNCTION("""COMPUTED_VALUE""")," গাংনী")</f>
        <v> গাংনী</v>
      </c>
      <c r="K14" s="1" t="str">
        <f>IFERROR(__xludf.DUMMYFUNCTION("""COMPUTED_VALUE""")," মেহেরপুর")</f>
        <v> মেহেরপুর</v>
      </c>
    </row>
    <row r="15">
      <c r="A15" s="6" t="s">
        <v>2100</v>
      </c>
      <c r="B15" s="1">
        <f>IFERROR(__xludf.DUMMYFUNCTION("SPLIT(A15,"","")"),15.0)</f>
        <v>15</v>
      </c>
      <c r="C15" s="1" t="str">
        <f>IFERROR(__xludf.DUMMYFUNCTION("""COMPUTED_VALUE"""),"মোঃ ইছারুদ্দীন")</f>
        <v>মোঃ ইছারুদ্দীন</v>
      </c>
      <c r="D15" s="1">
        <f>IFERROR(__xludf.DUMMYFUNCTION("""COMPUTED_VALUE"""),5.70054374049E11)</f>
        <v>570054374049</v>
      </c>
      <c r="E15" s="1" t="str">
        <f>IFERROR(__xludf.DUMMYFUNCTION("""COMPUTED_VALUE"""),"মোঃ আব্দুল মান্নান")</f>
        <v>মোঃ আব্দুল মান্নান</v>
      </c>
      <c r="F15" s="1" t="str">
        <f>IFERROR(__xludf.DUMMYFUNCTION("""COMPUTED_VALUE"""),"মোছাঃ আম্বিয়া খাতুন")</f>
        <v>মোছাঃ আম্বিয়া খাতুন</v>
      </c>
      <c r="G15" s="1" t="str">
        <f>IFERROR(__xludf.DUMMYFUNCTION("""COMPUTED_VALUE"""),"০৮/০৪/১৯৮২")</f>
        <v>০৮/০৪/১৯৮২</v>
      </c>
      <c r="H15" s="1" t="str">
        <f>IFERROR(__xludf.DUMMYFUNCTION("""COMPUTED_VALUE"""),"কৃষক")</f>
        <v>কৃষক</v>
      </c>
      <c r="I15" s="1" t="str">
        <f>IFERROR(__xludf.DUMMYFUNCTION("""COMPUTED_VALUE"""),"ধানখোলা")</f>
        <v>ধানখোলা</v>
      </c>
      <c r="J15" s="1" t="str">
        <f>IFERROR(__xludf.DUMMYFUNCTION("""COMPUTED_VALUE""")," গাংনী")</f>
        <v> গাংনী</v>
      </c>
      <c r="K15" s="1" t="str">
        <f>IFERROR(__xludf.DUMMYFUNCTION("""COMPUTED_VALUE""")," মেহেরপুর")</f>
        <v> মেহেরপুর</v>
      </c>
    </row>
    <row r="16">
      <c r="A16" s="6" t="s">
        <v>2101</v>
      </c>
      <c r="B16" s="1">
        <f>IFERROR(__xludf.DUMMYFUNCTION("SPLIT(A16,"","")"),16.0)</f>
        <v>16</v>
      </c>
      <c r="C16" s="1" t="str">
        <f>IFERROR(__xludf.DUMMYFUNCTION("""COMPUTED_VALUE"""),"মোঃ হারেজ উদ্দীন")</f>
        <v>মোঃ হারেজ উদ্দীন</v>
      </c>
      <c r="D16" s="1">
        <f>IFERROR(__xludf.DUMMYFUNCTION("""COMPUTED_VALUE"""),5.70054374051E11)</f>
        <v>570054374051</v>
      </c>
      <c r="E16" s="1" t="str">
        <f>IFERROR(__xludf.DUMMYFUNCTION("""COMPUTED_VALUE"""),"মাদার আলী")</f>
        <v>মাদার আলী</v>
      </c>
      <c r="F16" s="1" t="str">
        <f>IFERROR(__xludf.DUMMYFUNCTION("""COMPUTED_VALUE"""),"ফুলকুমারী")</f>
        <v>ফুলকুমারী</v>
      </c>
      <c r="G16" s="1" t="str">
        <f>IFERROR(__xludf.DUMMYFUNCTION("""COMPUTED_VALUE"""),"২০/০৬/১৯৪৭")</f>
        <v>২০/০৬/১৯৪৭</v>
      </c>
      <c r="H16" s="1" t="str">
        <f>IFERROR(__xludf.DUMMYFUNCTION("""COMPUTED_VALUE"""),"কৃষক")</f>
        <v>কৃষক</v>
      </c>
      <c r="I16" s="1" t="str">
        <f>IFERROR(__xludf.DUMMYFUNCTION("""COMPUTED_VALUE"""),"মহিষাখোলা")</f>
        <v>মহিষাখোলা</v>
      </c>
      <c r="J16" s="1" t="str">
        <f>IFERROR(__xludf.DUMMYFUNCTION("""COMPUTED_VALUE""")," গাংনী")</f>
        <v> গাংনী</v>
      </c>
      <c r="K16" s="1" t="str">
        <f>IFERROR(__xludf.DUMMYFUNCTION("""COMPUTED_VALUE""")," মেহেরপুর")</f>
        <v> মেহেরপুর</v>
      </c>
    </row>
    <row r="17">
      <c r="A17" s="6" t="s">
        <v>2102</v>
      </c>
      <c r="B17" s="1">
        <f>IFERROR(__xludf.DUMMYFUNCTION("SPLIT(A17,"","")"),17.0)</f>
        <v>17</v>
      </c>
      <c r="C17" s="1" t="str">
        <f>IFERROR(__xludf.DUMMYFUNCTION("""COMPUTED_VALUE"""),"মোঃ হাসান আলী")</f>
        <v>মোঃ হাসান আলী</v>
      </c>
      <c r="D17" s="1">
        <f>IFERROR(__xludf.DUMMYFUNCTION("""COMPUTED_VALUE"""),5.70054374052E11)</f>
        <v>570054374052</v>
      </c>
      <c r="E17" s="1" t="str">
        <f>IFERROR(__xludf.DUMMYFUNCTION("""COMPUTED_VALUE"""),"মোঃ জমিরুদ্দীন")</f>
        <v>মোঃ জমিরুদ্দীন</v>
      </c>
      <c r="F17" s="1" t="str">
        <f>IFERROR(__xludf.DUMMYFUNCTION("""COMPUTED_VALUE"""),"মোছাঃ সোনাভানু")</f>
        <v>মোছাঃ সোনাভানু</v>
      </c>
      <c r="G17" s="1" t="str">
        <f>IFERROR(__xludf.DUMMYFUNCTION("""COMPUTED_VALUE"""),"১২/০৪/১৯৭২")</f>
        <v>১২/০৪/১৯৭২</v>
      </c>
      <c r="H17" s="1" t="str">
        <f>IFERROR(__xludf.DUMMYFUNCTION("""COMPUTED_VALUE"""),"কৃষক")</f>
        <v>কৃষক</v>
      </c>
      <c r="I17" s="1" t="str">
        <f>IFERROR(__xludf.DUMMYFUNCTION("""COMPUTED_VALUE"""),"মহিষাখোলা")</f>
        <v>মহিষাখোলা</v>
      </c>
      <c r="J17" s="1" t="str">
        <f>IFERROR(__xludf.DUMMYFUNCTION("""COMPUTED_VALUE""")," গাংনী")</f>
        <v> গাংনী</v>
      </c>
      <c r="K17" s="1" t="str">
        <f>IFERROR(__xludf.DUMMYFUNCTION("""COMPUTED_VALUE""")," মেহেরপুর")</f>
        <v> মেহেরপুর</v>
      </c>
    </row>
    <row r="18">
      <c r="A18" s="6" t="s">
        <v>2103</v>
      </c>
      <c r="B18" s="1">
        <f>IFERROR(__xludf.DUMMYFUNCTION("SPLIT(A18,"","")"),18.0)</f>
        <v>18</v>
      </c>
      <c r="C18" s="1" t="str">
        <f>IFERROR(__xludf.DUMMYFUNCTION("""COMPUTED_VALUE"""),"মোহাঃ ইক্তিয়ার আলম")</f>
        <v>মোহাঃ ইক্তিয়ার আলম</v>
      </c>
      <c r="D18" s="1">
        <f>IFERROR(__xludf.DUMMYFUNCTION("""COMPUTED_VALUE"""),5.70054374054E11)</f>
        <v>570054374054</v>
      </c>
      <c r="E18" s="1" t="str">
        <f>IFERROR(__xludf.DUMMYFUNCTION("""COMPUTED_VALUE"""),"মোঃ আজিজুল")</f>
        <v>মোঃ আজিজুল</v>
      </c>
      <c r="F18" s="1" t="str">
        <f>IFERROR(__xludf.DUMMYFUNCTION("""COMPUTED_VALUE"""),"মোছাঃ রেবেকা")</f>
        <v>মোছাঃ রেবেকা</v>
      </c>
      <c r="G18" s="1" t="str">
        <f>IFERROR(__xludf.DUMMYFUNCTION("""COMPUTED_VALUE"""),"১০/০৫/১৯৭৯")</f>
        <v>১০/০৫/১৯৭৯</v>
      </c>
      <c r="H18" s="1" t="str">
        <f>IFERROR(__xludf.DUMMYFUNCTION("""COMPUTED_VALUE"""),"দিনমজুর")</f>
        <v>দিনমজুর</v>
      </c>
      <c r="I18" s="1" t="str">
        <f>IFERROR(__xludf.DUMMYFUNCTION("""COMPUTED_VALUE"""),"মহিষাখোলা")</f>
        <v>মহিষাখোলা</v>
      </c>
      <c r="J18" s="1" t="str">
        <f>IFERROR(__xludf.DUMMYFUNCTION("""COMPUTED_VALUE""")," গাংনী")</f>
        <v> গাংনী</v>
      </c>
      <c r="K18" s="1" t="str">
        <f>IFERROR(__xludf.DUMMYFUNCTION("""COMPUTED_VALUE""")," মেহেরপুর")</f>
        <v> মেহেরপুর</v>
      </c>
    </row>
    <row r="19">
      <c r="A19" s="6" t="s">
        <v>2104</v>
      </c>
      <c r="B19" s="1">
        <f>IFERROR(__xludf.DUMMYFUNCTION("SPLIT(A19,"","")"),19.0)</f>
        <v>19</v>
      </c>
      <c r="C19" s="1" t="str">
        <f>IFERROR(__xludf.DUMMYFUNCTION("""COMPUTED_VALUE"""),"মোঃ আমজাদ হোসেন")</f>
        <v>মোঃ আমজাদ হোসেন</v>
      </c>
      <c r="D19" s="1">
        <f>IFERROR(__xludf.DUMMYFUNCTION("""COMPUTED_VALUE"""),5.70054374063E11)</f>
        <v>570054374063</v>
      </c>
      <c r="E19" s="1" t="str">
        <f>IFERROR(__xludf.DUMMYFUNCTION("""COMPUTED_VALUE"""),"মোঃ জমিরুদ্দীন")</f>
        <v>মোঃ জমিরুদ্দীন</v>
      </c>
      <c r="F19" s="1" t="str">
        <f>IFERROR(__xludf.DUMMYFUNCTION("""COMPUTED_VALUE"""),"মোছাঃ সোনাভানু")</f>
        <v>মোছাঃ সোনাভানু</v>
      </c>
      <c r="G19" s="1" t="str">
        <f>IFERROR(__xludf.DUMMYFUNCTION("""COMPUTED_VALUE"""),"১৫/০৫/১৯৬৭")</f>
        <v>১৫/০৫/১৯৬৭</v>
      </c>
      <c r="H19" s="1" t="str">
        <f>IFERROR(__xludf.DUMMYFUNCTION("""COMPUTED_VALUE"""),"কৃষক")</f>
        <v>কৃষক</v>
      </c>
      <c r="I19" s="1" t="str">
        <f>IFERROR(__xludf.DUMMYFUNCTION("""COMPUTED_VALUE"""),"মহিষাখোলা")</f>
        <v>মহিষাখোলা</v>
      </c>
      <c r="J19" s="1" t="str">
        <f>IFERROR(__xludf.DUMMYFUNCTION("""COMPUTED_VALUE""")," গাংনী")</f>
        <v> গাংনী</v>
      </c>
      <c r="K19" s="1" t="str">
        <f>IFERROR(__xludf.DUMMYFUNCTION("""COMPUTED_VALUE""")," মেহেরপুর")</f>
        <v> মেহেরপুর</v>
      </c>
    </row>
    <row r="20">
      <c r="A20" s="6" t="s">
        <v>2105</v>
      </c>
      <c r="B20" s="1">
        <f>IFERROR(__xludf.DUMMYFUNCTION("SPLIT(A20,"","")"),20.0)</f>
        <v>20</v>
      </c>
      <c r="C20" s="1" t="str">
        <f>IFERROR(__xludf.DUMMYFUNCTION("""COMPUTED_VALUE"""),"মোঃ সানারুল ইসলাম")</f>
        <v>মোঃ সানারুল ইসলাম</v>
      </c>
      <c r="D20" s="1">
        <f>IFERROR(__xludf.DUMMYFUNCTION("""COMPUTED_VALUE"""),5.70054374066E11)</f>
        <v>570054374066</v>
      </c>
      <c r="E20" s="1" t="str">
        <f>IFERROR(__xludf.DUMMYFUNCTION("""COMPUTED_VALUE"""),"মোঃ বাদশা মন্ডল")</f>
        <v>মোঃ বাদশা মন্ডল</v>
      </c>
      <c r="F20" s="1" t="str">
        <f>IFERROR(__xludf.DUMMYFUNCTION("""COMPUTED_VALUE"""),"মোছাঃ ফাতেমা খাতুন")</f>
        <v>মোছাঃ ফাতেমা খাতুন</v>
      </c>
      <c r="G20" s="1" t="str">
        <f>IFERROR(__xludf.DUMMYFUNCTION("""COMPUTED_VALUE"""),"১২/১০/১৯৮২")</f>
        <v>১২/১০/১৯৮২</v>
      </c>
      <c r="H20" s="1" t="str">
        <f>IFERROR(__xludf.DUMMYFUNCTION("""COMPUTED_VALUE"""),"কৃষক")</f>
        <v>কৃষক</v>
      </c>
      <c r="I20" s="1" t="str">
        <f>IFERROR(__xludf.DUMMYFUNCTION("""COMPUTED_VALUE"""),"মহিষাখোলা")</f>
        <v>মহিষাখোলা</v>
      </c>
      <c r="J20" s="1" t="str">
        <f>IFERROR(__xludf.DUMMYFUNCTION("""COMPUTED_VALUE""")," গাংনী")</f>
        <v> গাংনী</v>
      </c>
      <c r="K20" s="1" t="str">
        <f>IFERROR(__xludf.DUMMYFUNCTION("""COMPUTED_VALUE""")," মেহেরপুর")</f>
        <v> মেহেরপুর</v>
      </c>
    </row>
    <row r="21">
      <c r="A21" s="6" t="s">
        <v>2106</v>
      </c>
      <c r="B21" s="1">
        <f>IFERROR(__xludf.DUMMYFUNCTION("SPLIT(A21,"","")"),21.0)</f>
        <v>21</v>
      </c>
      <c r="C21" s="1" t="str">
        <f>IFERROR(__xludf.DUMMYFUNCTION("""COMPUTED_VALUE"""),"মোঃ আঃ রাজ্জাক")</f>
        <v>মোঃ আঃ রাজ্জাক</v>
      </c>
      <c r="D21" s="1">
        <f>IFERROR(__xludf.DUMMYFUNCTION("""COMPUTED_VALUE"""),5.7005437407E11)</f>
        <v>570054374070</v>
      </c>
      <c r="E21" s="1" t="str">
        <f>IFERROR(__xludf.DUMMYFUNCTION("""COMPUTED_VALUE"""),"মোঃ সামসুল হক")</f>
        <v>মোঃ সামসুল হক</v>
      </c>
      <c r="F21" s="1" t="str">
        <f>IFERROR(__xludf.DUMMYFUNCTION("""COMPUTED_VALUE"""),"মোছাঃ তসলিমা")</f>
        <v>মোছাঃ তসলিমা</v>
      </c>
      <c r="G21" s="1" t="str">
        <f>IFERROR(__xludf.DUMMYFUNCTION("""COMPUTED_VALUE"""),"১২/০৫/১৯৭২")</f>
        <v>১২/০৫/১৯৭২</v>
      </c>
      <c r="H21" s="1" t="str">
        <f>IFERROR(__xludf.DUMMYFUNCTION("""COMPUTED_VALUE"""),"কৃষক")</f>
        <v>কৃষক</v>
      </c>
      <c r="I21" s="1" t="str">
        <f>IFERROR(__xludf.DUMMYFUNCTION("""COMPUTED_VALUE"""),"মহিষাখোলা")</f>
        <v>মহিষাখোলা</v>
      </c>
      <c r="J21" s="1" t="str">
        <f>IFERROR(__xludf.DUMMYFUNCTION("""COMPUTED_VALUE""")," গাংনী")</f>
        <v> গাংনী</v>
      </c>
      <c r="K21" s="1" t="str">
        <f>IFERROR(__xludf.DUMMYFUNCTION("""COMPUTED_VALUE""")," মেহেরপুর")</f>
        <v> মেহেরপুর</v>
      </c>
    </row>
    <row r="22">
      <c r="A22" s="6" t="s">
        <v>2107</v>
      </c>
      <c r="B22" s="1">
        <f>IFERROR(__xludf.DUMMYFUNCTION("SPLIT(A22,"","")"),22.0)</f>
        <v>22</v>
      </c>
      <c r="C22" s="1" t="str">
        <f>IFERROR(__xludf.DUMMYFUNCTION("""COMPUTED_VALUE"""),"মোঃ জমিরুল ইসলাম")</f>
        <v>মোঃ জমিরুল ইসলাম</v>
      </c>
      <c r="D22" s="1">
        <f>IFERROR(__xludf.DUMMYFUNCTION("""COMPUTED_VALUE"""),5.70054374071E11)</f>
        <v>570054374071</v>
      </c>
      <c r="E22" s="1" t="str">
        <f>IFERROR(__xludf.DUMMYFUNCTION("""COMPUTED_VALUE"""),"মোঃ আঃ মালেক")</f>
        <v>মোঃ আঃ মালেক</v>
      </c>
      <c r="F22" s="1" t="str">
        <f>IFERROR(__xludf.DUMMYFUNCTION("""COMPUTED_VALUE"""),"মোছাঃ রহিমা খাতুন")</f>
        <v>মোছাঃ রহিমা খাতুন</v>
      </c>
      <c r="G22" s="1" t="str">
        <f>IFERROR(__xludf.DUMMYFUNCTION("""COMPUTED_VALUE"""),"১৪/০৫/১৯৭৫")</f>
        <v>১৪/০৫/১৯৭৫</v>
      </c>
      <c r="H22" s="1" t="str">
        <f>IFERROR(__xludf.DUMMYFUNCTION("""COMPUTED_VALUE"""),"কৃষক")</f>
        <v>কৃষক</v>
      </c>
      <c r="I22" s="1" t="str">
        <f>IFERROR(__xludf.DUMMYFUNCTION("""COMPUTED_VALUE"""),"মহিষাখোলা")</f>
        <v>মহিষাখোলা</v>
      </c>
      <c r="J22" s="1" t="str">
        <f>IFERROR(__xludf.DUMMYFUNCTION("""COMPUTED_VALUE""")," গাংনী")</f>
        <v> গাংনী</v>
      </c>
      <c r="K22" s="1" t="str">
        <f>IFERROR(__xludf.DUMMYFUNCTION("""COMPUTED_VALUE""")," মেহেরপুর")</f>
        <v> মেহেরপুর</v>
      </c>
    </row>
    <row r="23">
      <c r="A23" s="6" t="s">
        <v>2108</v>
      </c>
      <c r="B23" s="1">
        <f>IFERROR(__xludf.DUMMYFUNCTION("SPLIT(A23,"","")"),23.0)</f>
        <v>23</v>
      </c>
      <c r="C23" s="1" t="str">
        <f>IFERROR(__xludf.DUMMYFUNCTION("""COMPUTED_VALUE"""),"মোঃ ছানাউল্লাহ")</f>
        <v>মোঃ ছানাউল্লাহ</v>
      </c>
      <c r="D23" s="1">
        <f>IFERROR(__xludf.DUMMYFUNCTION("""COMPUTED_VALUE"""),5.70054374075E11)</f>
        <v>570054374075</v>
      </c>
      <c r="E23" s="1" t="str">
        <f>IFERROR(__xludf.DUMMYFUNCTION("""COMPUTED_VALUE"""),"মোঃ আঃ মালেক")</f>
        <v>মোঃ আঃ মালেক</v>
      </c>
      <c r="F23" s="1" t="str">
        <f>IFERROR(__xludf.DUMMYFUNCTION("""COMPUTED_VALUE"""),"মোছাঃ রহিমা খাতুন")</f>
        <v>মোছাঃ রহিমা খাতুন</v>
      </c>
      <c r="G23" s="1" t="str">
        <f>IFERROR(__xludf.DUMMYFUNCTION("""COMPUTED_VALUE"""),"১২/০৫/১৯৭৩")</f>
        <v>১২/০৫/১৯৭৩</v>
      </c>
      <c r="H23" s="1" t="str">
        <f>IFERROR(__xludf.DUMMYFUNCTION("""COMPUTED_VALUE"""),"কৃষক")</f>
        <v>কৃষক</v>
      </c>
      <c r="I23" s="1" t="str">
        <f>IFERROR(__xludf.DUMMYFUNCTION("""COMPUTED_VALUE"""),"মহিষাখোলা")</f>
        <v>মহিষাখোলা</v>
      </c>
      <c r="J23" s="1" t="str">
        <f>IFERROR(__xludf.DUMMYFUNCTION("""COMPUTED_VALUE""")," গাংনী")</f>
        <v> গাংনী</v>
      </c>
      <c r="K23" s="1" t="str">
        <f>IFERROR(__xludf.DUMMYFUNCTION("""COMPUTED_VALUE""")," মেহেরপুর")</f>
        <v> মেহেরপুর</v>
      </c>
    </row>
    <row r="24">
      <c r="A24" s="6" t="s">
        <v>2109</v>
      </c>
      <c r="B24" s="1">
        <f>IFERROR(__xludf.DUMMYFUNCTION("SPLIT(A24,"","")"),24.0)</f>
        <v>24</v>
      </c>
      <c r="C24" s="1" t="str">
        <f>IFERROR(__xludf.DUMMYFUNCTION("""COMPUTED_VALUE"""),"মোঃ মহিউদ্দীন")</f>
        <v>মোঃ মহিউদ্দীন</v>
      </c>
      <c r="D24" s="1">
        <f>IFERROR(__xludf.DUMMYFUNCTION("""COMPUTED_VALUE"""),5.70054374076E11)</f>
        <v>570054374076</v>
      </c>
      <c r="E24" s="1" t="str">
        <f>IFERROR(__xludf.DUMMYFUNCTION("""COMPUTED_VALUE"""),"রাহিল উদ্দীন")</f>
        <v>রাহিল উদ্দীন</v>
      </c>
      <c r="F24" s="1" t="str">
        <f>IFERROR(__xludf.DUMMYFUNCTION("""COMPUTED_VALUE"""),"মোছাঃ রাবিয়া খাতুন")</f>
        <v>মোছাঃ রাবিয়া খাতুন</v>
      </c>
      <c r="G24" s="1" t="str">
        <f>IFERROR(__xludf.DUMMYFUNCTION("""COMPUTED_VALUE"""),"১৫/০৫/১৯৮২")</f>
        <v>১৫/০৫/১৯৮২</v>
      </c>
      <c r="H24" s="1" t="str">
        <f>IFERROR(__xludf.DUMMYFUNCTION("""COMPUTED_VALUE"""),"ব্যবসা")</f>
        <v>ব্যবসা</v>
      </c>
      <c r="I24" s="1" t="str">
        <f>IFERROR(__xludf.DUMMYFUNCTION("""COMPUTED_VALUE"""),"মহিষাখোলা")</f>
        <v>মহিষাখোলা</v>
      </c>
      <c r="J24" s="1" t="str">
        <f>IFERROR(__xludf.DUMMYFUNCTION("""COMPUTED_VALUE""")," গাংনী")</f>
        <v> গাংনী</v>
      </c>
      <c r="K24" s="1" t="str">
        <f>IFERROR(__xludf.DUMMYFUNCTION("""COMPUTED_VALUE""")," মেহেরপুর")</f>
        <v> মেহেরপুর</v>
      </c>
    </row>
    <row r="25">
      <c r="A25" s="6" t="s">
        <v>2110</v>
      </c>
      <c r="B25" s="1">
        <f>IFERROR(__xludf.DUMMYFUNCTION("SPLIT(A25,"","")"),25.0)</f>
        <v>25</v>
      </c>
      <c r="C25" s="1" t="str">
        <f>IFERROR(__xludf.DUMMYFUNCTION("""COMPUTED_VALUE"""),"মোঃ রবিউল ইসলাম")</f>
        <v>মোঃ রবিউল ইসলাম</v>
      </c>
      <c r="D25" s="1">
        <f>IFERROR(__xludf.DUMMYFUNCTION("""COMPUTED_VALUE"""),5.7005437408E11)</f>
        <v>570054374080</v>
      </c>
      <c r="E25" s="1" t="str">
        <f>IFERROR(__xludf.DUMMYFUNCTION("""COMPUTED_VALUE"""),"মোঃ সামসুল")</f>
        <v>মোঃ সামসুল</v>
      </c>
      <c r="F25" s="1" t="str">
        <f>IFERROR(__xludf.DUMMYFUNCTION("""COMPUTED_VALUE"""),"মোছাঃ তসলিমা")</f>
        <v>মোছাঃ তসলিমা</v>
      </c>
      <c r="G25" s="1" t="str">
        <f>IFERROR(__xludf.DUMMYFUNCTION("""COMPUTED_VALUE"""),"১০/০২/১৯৭৩")</f>
        <v>১০/০২/১৯৭৩</v>
      </c>
      <c r="H25" s="1" t="str">
        <f>IFERROR(__xludf.DUMMYFUNCTION("""COMPUTED_VALUE"""),"কৃষক")</f>
        <v>কৃষক</v>
      </c>
      <c r="I25" s="1" t="str">
        <f>IFERROR(__xludf.DUMMYFUNCTION("""COMPUTED_VALUE"""),"মহিষাখোলা")</f>
        <v>মহিষাখোলা</v>
      </c>
      <c r="J25" s="1" t="str">
        <f>IFERROR(__xludf.DUMMYFUNCTION("""COMPUTED_VALUE""")," গাংনী")</f>
        <v> গাংনী</v>
      </c>
      <c r="K25" s="1" t="str">
        <f>IFERROR(__xludf.DUMMYFUNCTION("""COMPUTED_VALUE""")," মেহেরপুর")</f>
        <v> মেহেরপুর</v>
      </c>
    </row>
    <row r="26">
      <c r="A26" s="6" t="s">
        <v>2111</v>
      </c>
      <c r="B26" s="1">
        <f>IFERROR(__xludf.DUMMYFUNCTION("SPLIT(A26,"","")"),26.0)</f>
        <v>26</v>
      </c>
      <c r="C26" s="1" t="str">
        <f>IFERROR(__xludf.DUMMYFUNCTION("""COMPUTED_VALUE"""),"মোঃ বারিউল ইসলাম")</f>
        <v>মোঃ বারিউল ইসলাম</v>
      </c>
      <c r="D26" s="1">
        <f>IFERROR(__xludf.DUMMYFUNCTION("""COMPUTED_VALUE"""),5.70054374085E11)</f>
        <v>570054374085</v>
      </c>
      <c r="E26" s="1" t="str">
        <f>IFERROR(__xludf.DUMMYFUNCTION("""COMPUTED_VALUE"""),"মোঃ গোলাম সরো হক")</f>
        <v>মোঃ গোলাম সরো হক</v>
      </c>
      <c r="F26" s="1" t="str">
        <f>IFERROR(__xludf.DUMMYFUNCTION("""COMPUTED_VALUE"""),"মোছাঃ জায়েদা খাতুন")</f>
        <v>মোছাঃ জায়েদা খাতুন</v>
      </c>
      <c r="G26" s="1" t="str">
        <f>IFERROR(__xludf.DUMMYFUNCTION("""COMPUTED_VALUE"""),"১০/০৬/১৯৮৯")</f>
        <v>১০/০৬/১৯৮৯</v>
      </c>
      <c r="H26" s="1" t="str">
        <f>IFERROR(__xludf.DUMMYFUNCTION("""COMPUTED_VALUE"""),"কৃষক")</f>
        <v>কৃষক</v>
      </c>
      <c r="I26" s="1" t="str">
        <f>IFERROR(__xludf.DUMMYFUNCTION("""COMPUTED_VALUE"""),"মহিষাখোলা")</f>
        <v>মহিষাখোলা</v>
      </c>
      <c r="J26" s="1" t="str">
        <f>IFERROR(__xludf.DUMMYFUNCTION("""COMPUTED_VALUE""")," গাংনী")</f>
        <v> গাংনী</v>
      </c>
      <c r="K26" s="1" t="str">
        <f>IFERROR(__xludf.DUMMYFUNCTION("""COMPUTED_VALUE""")," মেহেরপুর")</f>
        <v> মেহেরপুর</v>
      </c>
    </row>
    <row r="27">
      <c r="A27" s="6" t="s">
        <v>2112</v>
      </c>
      <c r="B27" s="1">
        <f>IFERROR(__xludf.DUMMYFUNCTION("SPLIT(A27,"","")"),27.0)</f>
        <v>27</v>
      </c>
      <c r="C27" s="1" t="str">
        <f>IFERROR(__xludf.DUMMYFUNCTION("""COMPUTED_VALUE"""),"মোঃ গোলাম সরোয়ার")</f>
        <v>মোঃ গোলাম সরোয়ার</v>
      </c>
      <c r="D27" s="1">
        <f>IFERROR(__xludf.DUMMYFUNCTION("""COMPUTED_VALUE"""),5.70054374086E11)</f>
        <v>570054374086</v>
      </c>
      <c r="E27" s="1" t="str">
        <f>IFERROR(__xludf.DUMMYFUNCTION("""COMPUTED_VALUE"""),"কিয়ামদ্দীন")</f>
        <v>কিয়ামদ্দীন</v>
      </c>
      <c r="F27" s="1" t="str">
        <f>IFERROR(__xludf.DUMMYFUNCTION("""COMPUTED_VALUE"""),"ফতেজান নেছা")</f>
        <v>ফতেজান নেছা</v>
      </c>
      <c r="G27" s="1" t="str">
        <f>IFERROR(__xludf.DUMMYFUNCTION("""COMPUTED_VALUE"""),"০৮/০৬/১৯৪২")</f>
        <v>০৮/০৬/১৯৪২</v>
      </c>
      <c r="H27" s="1" t="str">
        <f>IFERROR(__xludf.DUMMYFUNCTION("""COMPUTED_VALUE"""),"কৃষক")</f>
        <v>কৃষক</v>
      </c>
      <c r="I27" s="1" t="str">
        <f>IFERROR(__xludf.DUMMYFUNCTION("""COMPUTED_VALUE"""),"মহিষাখোলা")</f>
        <v>মহিষাখোলা</v>
      </c>
      <c r="J27" s="1" t="str">
        <f>IFERROR(__xludf.DUMMYFUNCTION("""COMPUTED_VALUE""")," গাংনী")</f>
        <v> গাংনী</v>
      </c>
      <c r="K27" s="1" t="str">
        <f>IFERROR(__xludf.DUMMYFUNCTION("""COMPUTED_VALUE""")," মেহেরপুর")</f>
        <v> মেহেরপুর</v>
      </c>
    </row>
    <row r="28">
      <c r="A28" s="6" t="s">
        <v>2113</v>
      </c>
      <c r="B28" s="1">
        <f>IFERROR(__xludf.DUMMYFUNCTION("SPLIT(A28,"","")"),28.0)</f>
        <v>28</v>
      </c>
      <c r="C28" s="1" t="str">
        <f>IFERROR(__xludf.DUMMYFUNCTION("""COMPUTED_VALUE"""),"মোঃ শাহাজাহান মল্লিক")</f>
        <v>মোঃ শাহাজাহান মল্লিক</v>
      </c>
      <c r="D28" s="1">
        <f>IFERROR(__xludf.DUMMYFUNCTION("""COMPUTED_VALUE"""),5.70054374091E11)</f>
        <v>570054374091</v>
      </c>
      <c r="E28" s="1" t="str">
        <f>IFERROR(__xludf.DUMMYFUNCTION("""COMPUTED_VALUE"""),"ছিতাব আলী")</f>
        <v>ছিতাব আলী</v>
      </c>
      <c r="F28" s="1" t="str">
        <f>IFERROR(__xludf.DUMMYFUNCTION("""COMPUTED_VALUE"""),"সাহার বানু")</f>
        <v>সাহার বানু</v>
      </c>
      <c r="G28" s="1" t="str">
        <f>IFERROR(__xludf.DUMMYFUNCTION("""COMPUTED_VALUE"""),"০২/১২/১৯৭২")</f>
        <v>০২/১২/১৯৭২</v>
      </c>
      <c r="H28" s="1" t="str">
        <f>IFERROR(__xludf.DUMMYFUNCTION("""COMPUTED_VALUE"""),"কৃষক")</f>
        <v>কৃষক</v>
      </c>
      <c r="I28" s="1" t="str">
        <f>IFERROR(__xludf.DUMMYFUNCTION("""COMPUTED_VALUE"""),"মহিষাখোলা")</f>
        <v>মহিষাখোলা</v>
      </c>
      <c r="J28" s="1" t="str">
        <f>IFERROR(__xludf.DUMMYFUNCTION("""COMPUTED_VALUE""")," গাংনী")</f>
        <v> গাংনী</v>
      </c>
      <c r="K28" s="1" t="str">
        <f>IFERROR(__xludf.DUMMYFUNCTION("""COMPUTED_VALUE""")," মেহেরপুর")</f>
        <v> মেহেরপুর</v>
      </c>
    </row>
    <row r="29">
      <c r="A29" s="6" t="s">
        <v>2114</v>
      </c>
      <c r="B29" s="1">
        <f>IFERROR(__xludf.DUMMYFUNCTION("SPLIT(A29,"","")"),29.0)</f>
        <v>29</v>
      </c>
      <c r="C29" s="1" t="str">
        <f>IFERROR(__xludf.DUMMYFUNCTION("""COMPUTED_VALUE"""),"মোঃ ইয়ামিন ইসলাম")</f>
        <v>মোঃ ইয়ামিন ইসলাম</v>
      </c>
      <c r="D29" s="1">
        <f>IFERROR(__xludf.DUMMYFUNCTION("""COMPUTED_VALUE"""),5.70054374094E11)</f>
        <v>570054374094</v>
      </c>
      <c r="E29" s="1" t="str">
        <f>IFERROR(__xludf.DUMMYFUNCTION("""COMPUTED_VALUE"""),"মোঃ আঃ কুদ্দুস")</f>
        <v>মোঃ আঃ কুদ্দুস</v>
      </c>
      <c r="F29" s="1" t="str">
        <f>IFERROR(__xludf.DUMMYFUNCTION("""COMPUTED_VALUE"""),"মোছাঃ হাজেরা খাতুন")</f>
        <v>মোছাঃ হাজেরা খাতুন</v>
      </c>
      <c r="G29" s="1" t="str">
        <f>IFERROR(__xludf.DUMMYFUNCTION("""COMPUTED_VALUE"""),"১০/০৪/১৯৭৫")</f>
        <v>১০/০৪/১৯৭৫</v>
      </c>
      <c r="H29" s="1" t="str">
        <f>IFERROR(__xludf.DUMMYFUNCTION("""COMPUTED_VALUE"""),"কৃষক")</f>
        <v>কৃষক</v>
      </c>
      <c r="I29" s="1" t="str">
        <f>IFERROR(__xludf.DUMMYFUNCTION("""COMPUTED_VALUE"""),"মহিষাখোলা")</f>
        <v>মহিষাখোলা</v>
      </c>
      <c r="J29" s="1" t="str">
        <f>IFERROR(__xludf.DUMMYFUNCTION("""COMPUTED_VALUE""")," গাংনী")</f>
        <v> গাংনী</v>
      </c>
      <c r="K29" s="1" t="str">
        <f>IFERROR(__xludf.DUMMYFUNCTION("""COMPUTED_VALUE""")," মেহেরপুর")</f>
        <v> মেহেরপুর</v>
      </c>
    </row>
    <row r="30">
      <c r="A30" s="6" t="s">
        <v>2115</v>
      </c>
      <c r="B30" s="1">
        <f>IFERROR(__xludf.DUMMYFUNCTION("SPLIT(A30,"","")"),30.0)</f>
        <v>30</v>
      </c>
      <c r="C30" s="1" t="str">
        <f>IFERROR(__xludf.DUMMYFUNCTION("""COMPUTED_VALUE"""),"মোঃ মিরাজুল ইসলাম")</f>
        <v>মোঃ মিরাজুল ইসলাম</v>
      </c>
      <c r="D30" s="1">
        <f>IFERROR(__xludf.DUMMYFUNCTION("""COMPUTED_VALUE"""),5.70054374096E11)</f>
        <v>570054374096</v>
      </c>
      <c r="E30" s="1" t="str">
        <f>IFERROR(__xludf.DUMMYFUNCTION("""COMPUTED_VALUE"""),"খেদের")</f>
        <v>খেদের</v>
      </c>
      <c r="F30" s="1" t="str">
        <f>IFERROR(__xludf.DUMMYFUNCTION("""COMPUTED_VALUE"""),"মোছাঃ ফাতেমা")</f>
        <v>মোছাঃ ফাতেমা</v>
      </c>
      <c r="G30" s="1" t="str">
        <f>IFERROR(__xludf.DUMMYFUNCTION("""COMPUTED_VALUE"""),"১৫/০৩/১৯৭৩")</f>
        <v>১৫/০৩/১৯৭৩</v>
      </c>
      <c r="H30" s="1" t="str">
        <f>IFERROR(__xludf.DUMMYFUNCTION("""COMPUTED_VALUE"""),"ব্যবসা")</f>
        <v>ব্যবসা</v>
      </c>
      <c r="I30" s="1" t="str">
        <f>IFERROR(__xludf.DUMMYFUNCTION("""COMPUTED_VALUE"""),"মহিষাখোলা")</f>
        <v>মহিষাখোলা</v>
      </c>
      <c r="J30" s="1" t="str">
        <f>IFERROR(__xludf.DUMMYFUNCTION("""COMPUTED_VALUE""")," গাংনী")</f>
        <v> গাংনী</v>
      </c>
      <c r="K30" s="1" t="str">
        <f>IFERROR(__xludf.DUMMYFUNCTION("""COMPUTED_VALUE""")," মেহেরপুর")</f>
        <v> মেহেরপুর</v>
      </c>
    </row>
    <row r="31">
      <c r="A31" s="6" t="s">
        <v>2116</v>
      </c>
      <c r="B31" s="1">
        <f>IFERROR(__xludf.DUMMYFUNCTION("SPLIT(A31,"","")"),31.0)</f>
        <v>31</v>
      </c>
      <c r="C31" s="1" t="str">
        <f>IFERROR(__xludf.DUMMYFUNCTION("""COMPUTED_VALUE"""),"মোঃ নাজমুল হক")</f>
        <v>মোঃ নাজমুল হক</v>
      </c>
      <c r="D31" s="1">
        <f>IFERROR(__xludf.DUMMYFUNCTION("""COMPUTED_VALUE"""),5.70054374097E11)</f>
        <v>570054374097</v>
      </c>
      <c r="E31" s="1" t="str">
        <f>IFERROR(__xludf.DUMMYFUNCTION("""COMPUTED_VALUE"""),"মোঃ নাজির মন্ডল")</f>
        <v>মোঃ নাজির মন্ডল</v>
      </c>
      <c r="F31" s="1" t="str">
        <f>IFERROR(__xludf.DUMMYFUNCTION("""COMPUTED_VALUE"""),"মোছাঃ নাজেরা খাতুন")</f>
        <v>মোছাঃ নাজেরা খাতুন</v>
      </c>
      <c r="G31" s="1" t="str">
        <f>IFERROR(__xludf.DUMMYFUNCTION("""COMPUTED_VALUE"""),"২৩/০৫/১৯৮৫")</f>
        <v>২৩/০৫/১৯৮৫</v>
      </c>
      <c r="H31" s="1" t="str">
        <f>IFERROR(__xludf.DUMMYFUNCTION("""COMPUTED_VALUE"""),"ব্যবসা")</f>
        <v>ব্যবসা</v>
      </c>
      <c r="I31" s="1" t="str">
        <f>IFERROR(__xludf.DUMMYFUNCTION("""COMPUTED_VALUE"""),"মহিষাখোলা")</f>
        <v>মহিষাখোলা</v>
      </c>
      <c r="J31" s="1" t="str">
        <f>IFERROR(__xludf.DUMMYFUNCTION("""COMPUTED_VALUE""")," গাংনী")</f>
        <v> গাংনী</v>
      </c>
      <c r="K31" s="1" t="str">
        <f>IFERROR(__xludf.DUMMYFUNCTION("""COMPUTED_VALUE""")," মেহেরপুর")</f>
        <v> মেহেরপুর</v>
      </c>
    </row>
    <row r="32">
      <c r="A32" s="6" t="s">
        <v>2117</v>
      </c>
      <c r="B32" s="1">
        <f>IFERROR(__xludf.DUMMYFUNCTION("SPLIT(A32,"","")"),32.0)</f>
        <v>32</v>
      </c>
      <c r="C32" s="1" t="str">
        <f>IFERROR(__xludf.DUMMYFUNCTION("""COMPUTED_VALUE"""),"মোঃ হাসিবুল হক")</f>
        <v>মোঃ হাসিবুল হক</v>
      </c>
      <c r="D32" s="1">
        <f>IFERROR(__xludf.DUMMYFUNCTION("""COMPUTED_VALUE"""),5.70054374098E11)</f>
        <v>570054374098</v>
      </c>
      <c r="E32" s="1" t="str">
        <f>IFERROR(__xludf.DUMMYFUNCTION("""COMPUTED_VALUE"""),"রাহিল উদ্দীন")</f>
        <v>রাহিল উদ্দীন</v>
      </c>
      <c r="F32" s="1" t="str">
        <f>IFERROR(__xludf.DUMMYFUNCTION("""COMPUTED_VALUE"""),"মোছাঃ রাবিয়া")</f>
        <v>মোছাঃ রাবিয়া</v>
      </c>
      <c r="G32" s="1" t="str">
        <f>IFERROR(__xludf.DUMMYFUNCTION("""COMPUTED_VALUE"""),"১০/০২/১৯৬৭")</f>
        <v>১০/০২/১৯৬৭</v>
      </c>
      <c r="H32" s="1" t="str">
        <f>IFERROR(__xludf.DUMMYFUNCTION("""COMPUTED_VALUE"""),"ব্যবসা")</f>
        <v>ব্যবসা</v>
      </c>
      <c r="I32" s="1" t="str">
        <f>IFERROR(__xludf.DUMMYFUNCTION("""COMPUTED_VALUE"""),"মহিষাখোলা")</f>
        <v>মহিষাখোলা</v>
      </c>
      <c r="J32" s="1" t="str">
        <f>IFERROR(__xludf.DUMMYFUNCTION("""COMPUTED_VALUE""")," গাংনী")</f>
        <v> গাংনী</v>
      </c>
      <c r="K32" s="1" t="str">
        <f>IFERROR(__xludf.DUMMYFUNCTION("""COMPUTED_VALUE""")," মেহেরপুর")</f>
        <v> মেহেরপুর</v>
      </c>
    </row>
    <row r="33">
      <c r="A33" s="6" t="s">
        <v>2118</v>
      </c>
      <c r="B33" s="1">
        <f>IFERROR(__xludf.DUMMYFUNCTION("SPLIT(A33,"","")"),33.0)</f>
        <v>33</v>
      </c>
      <c r="C33" s="1" t="str">
        <f>IFERROR(__xludf.DUMMYFUNCTION("""COMPUTED_VALUE"""),"মোঃ জয়নাল আবেদিন")</f>
        <v>মোঃ জয়নাল আবেদিন</v>
      </c>
      <c r="D33" s="1">
        <f>IFERROR(__xludf.DUMMYFUNCTION("""COMPUTED_VALUE"""),5.700543741E11)</f>
        <v>570054374100</v>
      </c>
      <c r="E33" s="1" t="str">
        <f>IFERROR(__xludf.DUMMYFUNCTION("""COMPUTED_VALUE"""),"মোঃ গোলাম মোস্তফা")</f>
        <v>মোঃ গোলাম মোস্তফা</v>
      </c>
      <c r="F33" s="1" t="str">
        <f>IFERROR(__xludf.DUMMYFUNCTION("""COMPUTED_VALUE"""),"আলিয়া খাতুন")</f>
        <v>আলিয়া খাতুন</v>
      </c>
      <c r="G33" s="1" t="str">
        <f>IFERROR(__xludf.DUMMYFUNCTION("""COMPUTED_VALUE"""),"১২/০৫/১৯৭৯")</f>
        <v>১২/০৫/১৯৭৯</v>
      </c>
      <c r="H33" s="1" t="str">
        <f>IFERROR(__xludf.DUMMYFUNCTION("""COMPUTED_VALUE"""),"কৃষক")</f>
        <v>কৃষক</v>
      </c>
      <c r="I33" s="1" t="str">
        <f>IFERROR(__xludf.DUMMYFUNCTION("""COMPUTED_VALUE"""),"মহিষাখোলা")</f>
        <v>মহিষাখোলা</v>
      </c>
      <c r="J33" s="1" t="str">
        <f>IFERROR(__xludf.DUMMYFUNCTION("""COMPUTED_VALUE""")," গাংনী")</f>
        <v> গাংনী</v>
      </c>
      <c r="K33" s="1" t="str">
        <f>IFERROR(__xludf.DUMMYFUNCTION("""COMPUTED_VALUE""")," মেহেরপুর")</f>
        <v> মেহেরপুর</v>
      </c>
    </row>
    <row r="34">
      <c r="A34" s="6" t="s">
        <v>2119</v>
      </c>
      <c r="B34" s="1">
        <f>IFERROR(__xludf.DUMMYFUNCTION("SPLIT(A34,"","")"),34.0)</f>
        <v>34</v>
      </c>
      <c r="C34" s="1" t="str">
        <f>IFERROR(__xludf.DUMMYFUNCTION("""COMPUTED_VALUE"""),"শ্রী কানু চন্দ্র দাস")</f>
        <v>শ্রী কানু চন্দ্র দাস</v>
      </c>
      <c r="D34" s="1">
        <f>IFERROR(__xludf.DUMMYFUNCTION("""COMPUTED_VALUE"""),5.70054374106E11)</f>
        <v>570054374106</v>
      </c>
      <c r="E34" s="1" t="str">
        <f>IFERROR(__xludf.DUMMYFUNCTION("""COMPUTED_VALUE"""),"গণেশ চন্দ্র দাস")</f>
        <v>গণেশ চন্দ্র দাস</v>
      </c>
      <c r="F34" s="1" t="str">
        <f>IFERROR(__xludf.DUMMYFUNCTION("""COMPUTED_VALUE"""),"শ্রী টুনি বালা")</f>
        <v>শ্রী টুনি বালা</v>
      </c>
      <c r="G34" s="1" t="str">
        <f>IFERROR(__xludf.DUMMYFUNCTION("""COMPUTED_VALUE"""),"০৭/০৫/১৯৬৭")</f>
        <v>০৭/০৫/১৯৬৭</v>
      </c>
      <c r="H34" s="1" t="str">
        <f>IFERROR(__xludf.DUMMYFUNCTION("""COMPUTED_VALUE"""),"অন্যান্য")</f>
        <v>অন্যান্য</v>
      </c>
      <c r="I34" s="1" t="str">
        <f>IFERROR(__xludf.DUMMYFUNCTION("""COMPUTED_VALUE"""),"মহিষাখোলা")</f>
        <v>মহিষাখোলা</v>
      </c>
      <c r="J34" s="1" t="str">
        <f>IFERROR(__xludf.DUMMYFUNCTION("""COMPUTED_VALUE""")," গাংনী")</f>
        <v> গাংনী</v>
      </c>
      <c r="K34" s="1" t="str">
        <f>IFERROR(__xludf.DUMMYFUNCTION("""COMPUTED_VALUE""")," মেহেরপুর")</f>
        <v> মেহেরপুর</v>
      </c>
    </row>
    <row r="35">
      <c r="A35" s="6" t="s">
        <v>2120</v>
      </c>
      <c r="B35" s="1">
        <f>IFERROR(__xludf.DUMMYFUNCTION("SPLIT(A35,"","")"),35.0)</f>
        <v>35</v>
      </c>
      <c r="C35" s="1" t="str">
        <f>IFERROR(__xludf.DUMMYFUNCTION("""COMPUTED_VALUE"""),"মোঃ মিন্টু মিয়া")</f>
        <v>মোঃ মিন্টু মিয়া</v>
      </c>
      <c r="D35" s="1">
        <f>IFERROR(__xludf.DUMMYFUNCTION("""COMPUTED_VALUE"""),5.70054374109E11)</f>
        <v>570054374109</v>
      </c>
      <c r="E35" s="1" t="str">
        <f>IFERROR(__xludf.DUMMYFUNCTION("""COMPUTED_VALUE"""),"মোঃ রফিকুল ইসলাম")</f>
        <v>মোঃ রফিকুল ইসলাম</v>
      </c>
      <c r="F35" s="1" t="str">
        <f>IFERROR(__xludf.DUMMYFUNCTION("""COMPUTED_VALUE"""),"মোছাঃ তহুরা খাতুন")</f>
        <v>মোছাঃ তহুরা খাতুন</v>
      </c>
      <c r="G35" s="1" t="str">
        <f>IFERROR(__xludf.DUMMYFUNCTION("""COMPUTED_VALUE"""),"২০/১০/১৯৮৭")</f>
        <v>২০/১০/১৯৮৭</v>
      </c>
      <c r="H35" s="1" t="str">
        <f>IFERROR(__xludf.DUMMYFUNCTION("""COMPUTED_VALUE"""),"ব্যবসা")</f>
        <v>ব্যবসা</v>
      </c>
      <c r="I35" s="1" t="str">
        <f>IFERROR(__xludf.DUMMYFUNCTION("""COMPUTED_VALUE"""),"মহিষাখোলা")</f>
        <v>মহিষাখোলা</v>
      </c>
      <c r="J35" s="1" t="str">
        <f>IFERROR(__xludf.DUMMYFUNCTION("""COMPUTED_VALUE""")," গাংনী")</f>
        <v> গাংনী</v>
      </c>
      <c r="K35" s="1" t="str">
        <f>IFERROR(__xludf.DUMMYFUNCTION("""COMPUTED_VALUE""")," মেহেরপুর")</f>
        <v> মেহেরপুর</v>
      </c>
    </row>
    <row r="36">
      <c r="A36" s="6" t="s">
        <v>2121</v>
      </c>
      <c r="B36" s="1">
        <f>IFERROR(__xludf.DUMMYFUNCTION("SPLIT(A36,"","")"),36.0)</f>
        <v>36</v>
      </c>
      <c r="C36" s="1" t="str">
        <f>IFERROR(__xludf.DUMMYFUNCTION("""COMPUTED_VALUE"""),"মোঃ মকবুল হোসেন")</f>
        <v>মোঃ মকবুল হোসেন</v>
      </c>
      <c r="D36" s="1">
        <f>IFERROR(__xludf.DUMMYFUNCTION("""COMPUTED_VALUE"""),5.70054374118E11)</f>
        <v>570054374118</v>
      </c>
      <c r="E36" s="1" t="str">
        <f>IFERROR(__xludf.DUMMYFUNCTION("""COMPUTED_VALUE"""),"মোঃ উমদাদ আলী")</f>
        <v>মোঃ উমদাদ আলী</v>
      </c>
      <c r="F36" s="1" t="str">
        <f>IFERROR(__xludf.DUMMYFUNCTION("""COMPUTED_VALUE"""),"মোছাঃ ছাহারন নেছা")</f>
        <v>মোছাঃ ছাহারন নেছা</v>
      </c>
      <c r="G36" s="1" t="str">
        <f>IFERROR(__xludf.DUMMYFUNCTION("""COMPUTED_VALUE"""),"২৫/১০/১৯৬৪")</f>
        <v>২৫/১০/১৯৬৪</v>
      </c>
      <c r="H36" s="1" t="str">
        <f>IFERROR(__xludf.DUMMYFUNCTION("""COMPUTED_VALUE"""),"কৃষক")</f>
        <v>কৃষক</v>
      </c>
      <c r="I36" s="1" t="str">
        <f>IFERROR(__xludf.DUMMYFUNCTION("""COMPUTED_VALUE"""),"মহিষাখোলা")</f>
        <v>মহিষাখোলা</v>
      </c>
      <c r="J36" s="1" t="str">
        <f>IFERROR(__xludf.DUMMYFUNCTION("""COMPUTED_VALUE""")," গাংনী")</f>
        <v> গাংনী</v>
      </c>
      <c r="K36" s="1" t="str">
        <f>IFERROR(__xludf.DUMMYFUNCTION("""COMPUTED_VALUE""")," মেহেরপুর")</f>
        <v> মেহেরপুর</v>
      </c>
    </row>
    <row r="37">
      <c r="A37" s="6" t="s">
        <v>2122</v>
      </c>
      <c r="B37" s="1">
        <f>IFERROR(__xludf.DUMMYFUNCTION("SPLIT(A37,"","")"),37.0)</f>
        <v>37</v>
      </c>
      <c r="C37" s="1" t="str">
        <f>IFERROR(__xludf.DUMMYFUNCTION("""COMPUTED_VALUE"""),"মোঃ মিন্টু আলী")</f>
        <v>মোঃ মিন্টু আলী</v>
      </c>
      <c r="D37" s="1">
        <f>IFERROR(__xludf.DUMMYFUNCTION("""COMPUTED_VALUE"""),5.70054374119E11)</f>
        <v>570054374119</v>
      </c>
      <c r="E37" s="1" t="str">
        <f>IFERROR(__xludf.DUMMYFUNCTION("""COMPUTED_VALUE"""),"মোঃ উমদাদ আলী")</f>
        <v>মোঃ উমদাদ আলী</v>
      </c>
      <c r="F37" s="1" t="str">
        <f>IFERROR(__xludf.DUMMYFUNCTION("""COMPUTED_VALUE"""),"মোছাঃ ছাহারন খাতুন")</f>
        <v>মোছাঃ ছাহারন খাতুন</v>
      </c>
      <c r="G37" s="1" t="str">
        <f>IFERROR(__xludf.DUMMYFUNCTION("""COMPUTED_VALUE"""),"২২/০৪/১৯৮৭")</f>
        <v>২২/০৪/১৯৮৭</v>
      </c>
      <c r="H37" s="1" t="str">
        <f>IFERROR(__xludf.DUMMYFUNCTION("""COMPUTED_VALUE"""),"ব্যবসা")</f>
        <v>ব্যবসা</v>
      </c>
      <c r="I37" s="1" t="str">
        <f>IFERROR(__xludf.DUMMYFUNCTION("""COMPUTED_VALUE"""),"মহিষাখোলা")</f>
        <v>মহিষাখোলা</v>
      </c>
      <c r="J37" s="1" t="str">
        <f>IFERROR(__xludf.DUMMYFUNCTION("""COMPUTED_VALUE""")," গাংনী")</f>
        <v> গাংনী</v>
      </c>
      <c r="K37" s="1" t="str">
        <f>IFERROR(__xludf.DUMMYFUNCTION("""COMPUTED_VALUE""")," মেহেরপুর")</f>
        <v> মেহেরপুর</v>
      </c>
    </row>
    <row r="38">
      <c r="A38" s="6" t="s">
        <v>2123</v>
      </c>
      <c r="B38" s="1">
        <f>IFERROR(__xludf.DUMMYFUNCTION("SPLIT(A38,"","")"),38.0)</f>
        <v>38</v>
      </c>
      <c r="C38" s="1" t="str">
        <f>IFERROR(__xludf.DUMMYFUNCTION("""COMPUTED_VALUE"""),"মোঃ জুলাইমান হোসেন")</f>
        <v>মোঃ জুলাইমান হোসেন</v>
      </c>
      <c r="D38" s="1">
        <f>IFERROR(__xludf.DUMMYFUNCTION("""COMPUTED_VALUE"""),5.7005437412E11)</f>
        <v>570054374120</v>
      </c>
      <c r="E38" s="1" t="str">
        <f>IFERROR(__xludf.DUMMYFUNCTION("""COMPUTED_VALUE"""),"আঃ রহমান")</f>
        <v>আঃ রহমান</v>
      </c>
      <c r="F38" s="1" t="str">
        <f>IFERROR(__xludf.DUMMYFUNCTION("""COMPUTED_VALUE"""),"মোছাঃ হালিমা খাতুন")</f>
        <v>মোছাঃ হালিমা খাতুন</v>
      </c>
      <c r="G38" s="1" t="str">
        <f>IFERROR(__xludf.DUMMYFUNCTION("""COMPUTED_VALUE"""),"২০/০৮/১৯৮৭")</f>
        <v>২০/০৮/১৯৮৭</v>
      </c>
      <c r="H38" s="1" t="str">
        <f>IFERROR(__xludf.DUMMYFUNCTION("""COMPUTED_VALUE"""),"শ্রমিক")</f>
        <v>শ্রমিক</v>
      </c>
      <c r="I38" s="1" t="str">
        <f>IFERROR(__xludf.DUMMYFUNCTION("""COMPUTED_VALUE"""),"মহিষাখোলা")</f>
        <v>মহিষাখোলা</v>
      </c>
      <c r="J38" s="1" t="str">
        <f>IFERROR(__xludf.DUMMYFUNCTION("""COMPUTED_VALUE""")," গাংনী")</f>
        <v> গাংনী</v>
      </c>
      <c r="K38" s="1" t="str">
        <f>IFERROR(__xludf.DUMMYFUNCTION("""COMPUTED_VALUE""")," মেহেরপুর")</f>
        <v> মেহেরপুর</v>
      </c>
    </row>
    <row r="39">
      <c r="A39" s="6" t="s">
        <v>2124</v>
      </c>
      <c r="B39" s="1">
        <f>IFERROR(__xludf.DUMMYFUNCTION("SPLIT(A39,"","")"),39.0)</f>
        <v>39</v>
      </c>
      <c r="C39" s="1" t="str">
        <f>IFERROR(__xludf.DUMMYFUNCTION("""COMPUTED_VALUE"""),"মোঃ ইমাদুল হক")</f>
        <v>মোঃ ইমাদুল হক</v>
      </c>
      <c r="D39" s="1">
        <f>IFERROR(__xludf.DUMMYFUNCTION("""COMPUTED_VALUE"""),5.70054374121E11)</f>
        <v>570054374121</v>
      </c>
      <c r="E39" s="1" t="str">
        <f>IFERROR(__xludf.DUMMYFUNCTION("""COMPUTED_VALUE"""),"খেদের বকস")</f>
        <v>খেদের বকস</v>
      </c>
      <c r="F39" s="1" t="str">
        <f>IFERROR(__xludf.DUMMYFUNCTION("""COMPUTED_VALUE"""),"মোছাঃ ফাতেমা খাতুন")</f>
        <v>মোছাঃ ফাতেমা খাতুন</v>
      </c>
      <c r="G39" s="1" t="str">
        <f>IFERROR(__xludf.DUMMYFUNCTION("""COMPUTED_VALUE"""),"২৫/০৭/১৯৭৫")</f>
        <v>২৫/০৭/১৯৭৫</v>
      </c>
      <c r="H39" s="1" t="str">
        <f>IFERROR(__xludf.DUMMYFUNCTION("""COMPUTED_VALUE"""),"শ্রমিক")</f>
        <v>শ্রমিক</v>
      </c>
      <c r="I39" s="1" t="str">
        <f>IFERROR(__xludf.DUMMYFUNCTION("""COMPUTED_VALUE"""),"মহিষাখোলা")</f>
        <v>মহিষাখোলা</v>
      </c>
      <c r="J39" s="1" t="str">
        <f>IFERROR(__xludf.DUMMYFUNCTION("""COMPUTED_VALUE""")," গাংনী")</f>
        <v> গাংনী</v>
      </c>
      <c r="K39" s="1" t="str">
        <f>IFERROR(__xludf.DUMMYFUNCTION("""COMPUTED_VALUE""")," মেহেরপুর")</f>
        <v> মেহেরপুর</v>
      </c>
    </row>
    <row r="40">
      <c r="A40" s="6" t="s">
        <v>2125</v>
      </c>
      <c r="B40" s="1">
        <f>IFERROR(__xludf.DUMMYFUNCTION("SPLIT(A40,"","")"),40.0)</f>
        <v>40</v>
      </c>
      <c r="C40" s="1" t="str">
        <f>IFERROR(__xludf.DUMMYFUNCTION("""COMPUTED_VALUE"""),"মোঃ তারিকুল ইসলাম")</f>
        <v>মোঃ তারিকুল ইসলাম</v>
      </c>
      <c r="D40" s="1">
        <f>IFERROR(__xludf.DUMMYFUNCTION("""COMPUTED_VALUE"""),5.70054374125E11)</f>
        <v>570054374125</v>
      </c>
      <c r="E40" s="1" t="str">
        <f>IFERROR(__xludf.DUMMYFUNCTION("""COMPUTED_VALUE"""),"মোঃ হায়দার আলী")</f>
        <v>মোঃ হায়দার আলী</v>
      </c>
      <c r="F40" s="1" t="str">
        <f>IFERROR(__xludf.DUMMYFUNCTION("""COMPUTED_VALUE"""),"মোছাঃ বানুয়ারা খাতুন")</f>
        <v>মোছাঃ বানুয়ারা খাতুন</v>
      </c>
      <c r="G40" s="1" t="str">
        <f>IFERROR(__xludf.DUMMYFUNCTION("""COMPUTED_VALUE"""),"২১/১০/১৯৮৮")</f>
        <v>২১/১০/১৯৮৮</v>
      </c>
      <c r="H40" s="1" t="str">
        <f>IFERROR(__xludf.DUMMYFUNCTION("""COMPUTED_VALUE"""),"শ্রমিক")</f>
        <v>শ্রমিক</v>
      </c>
      <c r="I40" s="1" t="str">
        <f>IFERROR(__xludf.DUMMYFUNCTION("""COMPUTED_VALUE"""),"মহিষাখোলা")</f>
        <v>মহিষাখোলা</v>
      </c>
      <c r="J40" s="1" t="str">
        <f>IFERROR(__xludf.DUMMYFUNCTION("""COMPUTED_VALUE""")," গাংনী")</f>
        <v> গাংনী</v>
      </c>
      <c r="K40" s="1" t="str">
        <f>IFERROR(__xludf.DUMMYFUNCTION("""COMPUTED_VALUE""")," মেহেরপুর")</f>
        <v> মেহেরপুর</v>
      </c>
    </row>
    <row r="41">
      <c r="A41" s="6" t="s">
        <v>2126</v>
      </c>
      <c r="B41" s="1">
        <f>IFERROR(__xludf.DUMMYFUNCTION("SPLIT(A41,"","")"),41.0)</f>
        <v>41</v>
      </c>
      <c r="C41" s="1" t="str">
        <f>IFERROR(__xludf.DUMMYFUNCTION("""COMPUTED_VALUE"""),"মোঃ মনিরুজ্জামান")</f>
        <v>মোঃ মনিরুজ্জামান</v>
      </c>
      <c r="D41" s="1">
        <f>IFERROR(__xludf.DUMMYFUNCTION("""COMPUTED_VALUE"""),5.7005437412E11)</f>
        <v>570054374120</v>
      </c>
      <c r="E41" s="1" t="str">
        <f>IFERROR(__xludf.DUMMYFUNCTION("""COMPUTED_VALUE"""),"মোঃ ইয়াকুব আলী")</f>
        <v>মোঃ ইয়াকুব আলী</v>
      </c>
      <c r="F41" s="1" t="str">
        <f>IFERROR(__xludf.DUMMYFUNCTION("""COMPUTED_VALUE"""),"মোছাঃ মনোয়ারা খাতুন")</f>
        <v>মোছাঃ মনোয়ারা খাতুন</v>
      </c>
      <c r="G41" s="1" t="str">
        <f>IFERROR(__xludf.DUMMYFUNCTION("""COMPUTED_VALUE"""),"১১/১২/১৯৮৬")</f>
        <v>১১/১২/১৯৮৬</v>
      </c>
      <c r="H41" s="1" t="str">
        <f>IFERROR(__xludf.DUMMYFUNCTION("""COMPUTED_VALUE"""),"বেকার")</f>
        <v>বেকার</v>
      </c>
      <c r="I41" s="1" t="str">
        <f>IFERROR(__xludf.DUMMYFUNCTION("""COMPUTED_VALUE"""),"মহিষাখোলা")</f>
        <v>মহিষাখোলা</v>
      </c>
      <c r="J41" s="1" t="str">
        <f>IFERROR(__xludf.DUMMYFUNCTION("""COMPUTED_VALUE""")," গাংনী")</f>
        <v> গাংনী</v>
      </c>
      <c r="K41" s="1" t="str">
        <f>IFERROR(__xludf.DUMMYFUNCTION("""COMPUTED_VALUE""")," মেহেরপুর")</f>
        <v> মেহেরপুর</v>
      </c>
    </row>
    <row r="42">
      <c r="A42" s="6" t="s">
        <v>2127</v>
      </c>
      <c r="B42" s="1">
        <f>IFERROR(__xludf.DUMMYFUNCTION("SPLIT(A42,"","")"),42.0)</f>
        <v>42</v>
      </c>
      <c r="C42" s="1" t="str">
        <f>IFERROR(__xludf.DUMMYFUNCTION("""COMPUTED_VALUE"""),"মোঃ হামিদুল ইসলাম")</f>
        <v>মোঃ হামিদুল ইসলাম</v>
      </c>
      <c r="D42" s="1">
        <f>IFERROR(__xludf.DUMMYFUNCTION("""COMPUTED_VALUE"""),5.70054374132E11)</f>
        <v>570054374132</v>
      </c>
      <c r="E42" s="1" t="str">
        <f>IFERROR(__xludf.DUMMYFUNCTION("""COMPUTED_VALUE"""),"মতিয়ার রহমান")</f>
        <v>মতিয়ার রহমান</v>
      </c>
      <c r="F42" s="1" t="str">
        <f>IFERROR(__xludf.DUMMYFUNCTION("""COMPUTED_VALUE"""),"মোছাঃ হামেদা খাতুন")</f>
        <v>মোছাঃ হামেদা খাতুন</v>
      </c>
      <c r="G42" s="1" t="str">
        <f>IFERROR(__xludf.DUMMYFUNCTION("""COMPUTED_VALUE"""),"২০/০৪/১৯৭৭")</f>
        <v>২০/০৪/১৯৭৭</v>
      </c>
      <c r="H42" s="1" t="str">
        <f>IFERROR(__xludf.DUMMYFUNCTION("""COMPUTED_VALUE"""),"দিনমজুর")</f>
        <v>দিনমজুর</v>
      </c>
      <c r="I42" s="1" t="str">
        <f>IFERROR(__xludf.DUMMYFUNCTION("""COMPUTED_VALUE"""),"মহিষাখোলা")</f>
        <v>মহিষাখোলা</v>
      </c>
      <c r="J42" s="1" t="str">
        <f>IFERROR(__xludf.DUMMYFUNCTION("""COMPUTED_VALUE""")," গাংনী")</f>
        <v> গাংনী</v>
      </c>
      <c r="K42" s="1" t="str">
        <f>IFERROR(__xludf.DUMMYFUNCTION("""COMPUTED_VALUE""")," মেহেরপুর")</f>
        <v> মেহেরপুর</v>
      </c>
    </row>
    <row r="43">
      <c r="A43" s="6" t="s">
        <v>2128</v>
      </c>
      <c r="B43" s="1">
        <f>IFERROR(__xludf.DUMMYFUNCTION("SPLIT(A43,"","")"),43.0)</f>
        <v>43</v>
      </c>
      <c r="C43" s="1" t="str">
        <f>IFERROR(__xludf.DUMMYFUNCTION("""COMPUTED_VALUE"""),"মোঃ মানিক আলী")</f>
        <v>মোঃ মানিক আলী</v>
      </c>
      <c r="D43" s="1">
        <f>IFERROR(__xludf.DUMMYFUNCTION("""COMPUTED_VALUE"""),5.70054374136E11)</f>
        <v>570054374136</v>
      </c>
      <c r="E43" s="1" t="str">
        <f>IFERROR(__xludf.DUMMYFUNCTION("""COMPUTED_VALUE"""),"শহীদ বকস")</f>
        <v>শহীদ বকস</v>
      </c>
      <c r="F43" s="1" t="str">
        <f>IFERROR(__xludf.DUMMYFUNCTION("""COMPUTED_VALUE"""),"মোছাঃ নূরজাহান বেগম")</f>
        <v>মোছাঃ নূরজাহান বেগম</v>
      </c>
      <c r="G43" s="1" t="str">
        <f>IFERROR(__xludf.DUMMYFUNCTION("""COMPUTED_VALUE"""),"৩০/১২/১৯৬৮")</f>
        <v>৩০/১২/১৯৬৮</v>
      </c>
      <c r="H43" s="1" t="str">
        <f>IFERROR(__xludf.DUMMYFUNCTION("""COMPUTED_VALUE"""),"কৃষক")</f>
        <v>কৃষক</v>
      </c>
      <c r="I43" s="1" t="str">
        <f>IFERROR(__xludf.DUMMYFUNCTION("""COMPUTED_VALUE"""),"মহিষাখোলা")</f>
        <v>মহিষাখোলা</v>
      </c>
      <c r="J43" s="1" t="str">
        <f>IFERROR(__xludf.DUMMYFUNCTION("""COMPUTED_VALUE""")," গাংনী")</f>
        <v> গাংনী</v>
      </c>
      <c r="K43" s="1" t="str">
        <f>IFERROR(__xludf.DUMMYFUNCTION("""COMPUTED_VALUE""")," মেহেরপুর")</f>
        <v> মেহেরপুর</v>
      </c>
    </row>
    <row r="44">
      <c r="A44" s="6" t="s">
        <v>2129</v>
      </c>
      <c r="B44" s="1">
        <f>IFERROR(__xludf.DUMMYFUNCTION("SPLIT(A44,"","")"),44.0)</f>
        <v>44</v>
      </c>
      <c r="C44" s="1" t="str">
        <f>IFERROR(__xludf.DUMMYFUNCTION("""COMPUTED_VALUE"""),"মোঃ জাকিরুল ইসলাম")</f>
        <v>মোঃ জাকিরুল ইসলাম</v>
      </c>
      <c r="D44" s="1">
        <f>IFERROR(__xludf.DUMMYFUNCTION("""COMPUTED_VALUE"""),5.70054374142E11)</f>
        <v>570054374142</v>
      </c>
      <c r="E44" s="1" t="str">
        <f>IFERROR(__xludf.DUMMYFUNCTION("""COMPUTED_VALUE"""),"মোঃ মানিক আলী")</f>
        <v>মোঃ মানিক আলী</v>
      </c>
      <c r="F44" s="1" t="str">
        <f>IFERROR(__xludf.DUMMYFUNCTION("""COMPUTED_VALUE"""),"মোছাঃ জগোতারা")</f>
        <v>মোছাঃ জগোতারা</v>
      </c>
      <c r="G44" s="1" t="str">
        <f>IFERROR(__xludf.DUMMYFUNCTION("""COMPUTED_VALUE"""),"২০/০৪/১৯৮৯")</f>
        <v>২০/০৪/১৯৮৯</v>
      </c>
      <c r="H44" s="1" t="str">
        <f>IFERROR(__xludf.DUMMYFUNCTION("""COMPUTED_VALUE"""),"কৃষক")</f>
        <v>কৃষক</v>
      </c>
      <c r="I44" s="1" t="str">
        <f>IFERROR(__xludf.DUMMYFUNCTION("""COMPUTED_VALUE"""),"মহিষাখোলা")</f>
        <v>মহিষাখোলা</v>
      </c>
      <c r="J44" s="1" t="str">
        <f>IFERROR(__xludf.DUMMYFUNCTION("""COMPUTED_VALUE""")," গাংনী")</f>
        <v> গাংনী</v>
      </c>
      <c r="K44" s="1" t="str">
        <f>IFERROR(__xludf.DUMMYFUNCTION("""COMPUTED_VALUE""")," মেহেরপুর")</f>
        <v> মেহেরপুর</v>
      </c>
    </row>
    <row r="45">
      <c r="A45" s="6" t="s">
        <v>2130</v>
      </c>
      <c r="B45" s="1">
        <f>IFERROR(__xludf.DUMMYFUNCTION("SPLIT(A45,"","")"),45.0)</f>
        <v>45</v>
      </c>
      <c r="C45" s="1" t="str">
        <f>IFERROR(__xludf.DUMMYFUNCTION("""COMPUTED_VALUE"""),"মোঃ মাজেদুল ইসলাম")</f>
        <v>মোঃ মাজেদুল ইসলাম</v>
      </c>
      <c r="D45" s="1">
        <f>IFERROR(__xludf.DUMMYFUNCTION("""COMPUTED_VALUE"""),5.70054374143E11)</f>
        <v>570054374143</v>
      </c>
      <c r="E45" s="1" t="str">
        <f>IFERROR(__xludf.DUMMYFUNCTION("""COMPUTED_VALUE"""),"মোঃ আজিজুল ইসলাম")</f>
        <v>মোঃ আজিজুল ইসলাম</v>
      </c>
      <c r="F45" s="1" t="str">
        <f>IFERROR(__xludf.DUMMYFUNCTION("""COMPUTED_VALUE"""),"মোছাঃ ছবেদা খাতুন")</f>
        <v>মোছাঃ ছবেদা খাতুন</v>
      </c>
      <c r="G45" s="1" t="str">
        <f>IFERROR(__xludf.DUMMYFUNCTION("""COMPUTED_VALUE"""),"১৯/০৭/১৯৮৮")</f>
        <v>১৯/০৭/১৯৮৮</v>
      </c>
      <c r="H45" s="1" t="str">
        <f>IFERROR(__xludf.DUMMYFUNCTION("""COMPUTED_VALUE"""),"কৃষক")</f>
        <v>কৃষক</v>
      </c>
      <c r="I45" s="1" t="str">
        <f>IFERROR(__xludf.DUMMYFUNCTION("""COMPUTED_VALUE"""),"মহিষাখোলা")</f>
        <v>মহিষাখোলা</v>
      </c>
      <c r="J45" s="1" t="str">
        <f>IFERROR(__xludf.DUMMYFUNCTION("""COMPUTED_VALUE""")," গাংনী")</f>
        <v> গাংনী</v>
      </c>
      <c r="K45" s="1" t="str">
        <f>IFERROR(__xludf.DUMMYFUNCTION("""COMPUTED_VALUE""")," মেহেরপুর")</f>
        <v> মেহেরপুর</v>
      </c>
    </row>
    <row r="46">
      <c r="A46" s="6" t="s">
        <v>2131</v>
      </c>
      <c r="B46" s="1">
        <f>IFERROR(__xludf.DUMMYFUNCTION("SPLIT(A46,"","")"),47.0)</f>
        <v>47</v>
      </c>
      <c r="C46" s="1" t="str">
        <f>IFERROR(__xludf.DUMMYFUNCTION("""COMPUTED_VALUE"""),"মোঃ আরিফ হোসেন")</f>
        <v>মোঃ আরিফ হোসেন</v>
      </c>
      <c r="D46" s="1">
        <f>IFERROR(__xludf.DUMMYFUNCTION("""COMPUTED_VALUE"""),5.70054374149E11)</f>
        <v>570054374149</v>
      </c>
      <c r="E46" s="1" t="str">
        <f>IFERROR(__xludf.DUMMYFUNCTION("""COMPUTED_VALUE"""),"ছিয়ামুদ্দীন মল্লিক")</f>
        <v>ছিয়ামুদ্দীন মল্লিক</v>
      </c>
      <c r="F46" s="1" t="str">
        <f>IFERROR(__xludf.DUMMYFUNCTION("""COMPUTED_VALUE"""),"মোছাঃ ছদিরন নেছা")</f>
        <v>মোছাঃ ছদিরন নেছা</v>
      </c>
      <c r="G46" s="1" t="str">
        <f>IFERROR(__xludf.DUMMYFUNCTION("""COMPUTED_VALUE"""),"১০/১২/১৯৮২")</f>
        <v>১০/১২/১৯৮২</v>
      </c>
      <c r="H46" s="1" t="str">
        <f>IFERROR(__xludf.DUMMYFUNCTION("""COMPUTED_VALUE"""),"শ্রমিক")</f>
        <v>শ্রমিক</v>
      </c>
      <c r="I46" s="1" t="str">
        <f>IFERROR(__xludf.DUMMYFUNCTION("""COMPUTED_VALUE"""),"মহিষাখোলা")</f>
        <v>মহিষাখোলা</v>
      </c>
      <c r="J46" s="1" t="str">
        <f>IFERROR(__xludf.DUMMYFUNCTION("""COMPUTED_VALUE""")," গাংনী")</f>
        <v> গাংনী</v>
      </c>
      <c r="K46" s="1" t="str">
        <f>IFERROR(__xludf.DUMMYFUNCTION("""COMPUTED_VALUE""")," মেহেরপুর")</f>
        <v> মেহেরপুর</v>
      </c>
    </row>
    <row r="47">
      <c r="A47" s="6" t="s">
        <v>2132</v>
      </c>
      <c r="B47" s="1">
        <f>IFERROR(__xludf.DUMMYFUNCTION("SPLIT(A47,"","")"),48.0)</f>
        <v>48</v>
      </c>
      <c r="C47" s="1" t="str">
        <f>IFERROR(__xludf.DUMMYFUNCTION("""COMPUTED_VALUE"""),"মোঃ জলিল মন্ডল")</f>
        <v>মোঃ জলিল মন্ডল</v>
      </c>
      <c r="D47" s="1">
        <f>IFERROR(__xludf.DUMMYFUNCTION("""COMPUTED_VALUE"""),5.70054374154E11)</f>
        <v>570054374154</v>
      </c>
      <c r="E47" s="1" t="str">
        <f>IFERROR(__xludf.DUMMYFUNCTION("""COMPUTED_VALUE"""),"এছের আলী মন্ডল")</f>
        <v>এছের আলী মন্ডল</v>
      </c>
      <c r="F47" s="1" t="str">
        <f>IFERROR(__xludf.DUMMYFUNCTION("""COMPUTED_VALUE"""),"মোছাঃ সবুরা খাতুন")</f>
        <v>মোছাঃ সবুরা খাতুন</v>
      </c>
      <c r="G47" s="1" t="str">
        <f>IFERROR(__xludf.DUMMYFUNCTION("""COMPUTED_VALUE"""),"২০/০৩/১৯২৭")</f>
        <v>২০/০৩/১৯২৭</v>
      </c>
      <c r="H47" s="1" t="str">
        <f>IFERROR(__xludf.DUMMYFUNCTION("""COMPUTED_VALUE"""),"কৃষক")</f>
        <v>কৃষক</v>
      </c>
      <c r="I47" s="1" t="str">
        <f>IFERROR(__xludf.DUMMYFUNCTION("""COMPUTED_VALUE"""),"মহিষাখোলা")</f>
        <v>মহিষাখোলা</v>
      </c>
      <c r="J47" s="1" t="str">
        <f>IFERROR(__xludf.DUMMYFUNCTION("""COMPUTED_VALUE""")," গাংনী")</f>
        <v> গাংনী</v>
      </c>
      <c r="K47" s="1" t="str">
        <f>IFERROR(__xludf.DUMMYFUNCTION("""COMPUTED_VALUE""")," মেহেরপুর")</f>
        <v> মেহেরপুর</v>
      </c>
    </row>
    <row r="48">
      <c r="A48" s="6" t="s">
        <v>2133</v>
      </c>
      <c r="B48" s="1">
        <f>IFERROR(__xludf.DUMMYFUNCTION("SPLIT(A48,"","")"),49.0)</f>
        <v>49</v>
      </c>
      <c r="C48" s="1" t="str">
        <f>IFERROR(__xludf.DUMMYFUNCTION("""COMPUTED_VALUE"""),"মোঃ আব্দুল গফুর")</f>
        <v>মোঃ আব্দুল গফুর</v>
      </c>
      <c r="D48" s="1">
        <f>IFERROR(__xludf.DUMMYFUNCTION("""COMPUTED_VALUE"""),5.70054374157E11)</f>
        <v>570054374157</v>
      </c>
      <c r="E48" s="1" t="str">
        <f>IFERROR(__xludf.DUMMYFUNCTION("""COMPUTED_VALUE"""),"মোঃ আব্দুল আজিজ মন্ডল")</f>
        <v>মোঃ আব্দুল আজিজ মন্ডল</v>
      </c>
      <c r="F48" s="1" t="str">
        <f>IFERROR(__xludf.DUMMYFUNCTION("""COMPUTED_VALUE"""),"মোছাঃ রমেলা খাতুন")</f>
        <v>মোছাঃ রমেলা খাতুন</v>
      </c>
      <c r="G48" s="1" t="str">
        <f>IFERROR(__xludf.DUMMYFUNCTION("""COMPUTED_VALUE"""),"০৮/০১/১৯৮৭")</f>
        <v>০৮/০১/১৯৮৭</v>
      </c>
      <c r="H48" s="1" t="str">
        <f>IFERROR(__xludf.DUMMYFUNCTION("""COMPUTED_VALUE"""),"বেসরকারী চাকুরী")</f>
        <v>বেসরকারী চাকুরী</v>
      </c>
      <c r="I48" s="1" t="str">
        <f>IFERROR(__xludf.DUMMYFUNCTION("""COMPUTED_VALUE"""),"মহিষাখোলা")</f>
        <v>মহিষাখোলা</v>
      </c>
      <c r="J48" s="1" t="str">
        <f>IFERROR(__xludf.DUMMYFUNCTION("""COMPUTED_VALUE""")," গাংনী")</f>
        <v> গাংনী</v>
      </c>
      <c r="K48" s="1" t="str">
        <f>IFERROR(__xludf.DUMMYFUNCTION("""COMPUTED_VALUE""")," মেহেরপুর")</f>
        <v> মেহেরপুর</v>
      </c>
    </row>
    <row r="49">
      <c r="A49" s="6" t="s">
        <v>2134</v>
      </c>
      <c r="B49" s="1">
        <f>IFERROR(__xludf.DUMMYFUNCTION("SPLIT(A49,"","")"),50.0)</f>
        <v>50</v>
      </c>
      <c r="C49" s="1" t="str">
        <f>IFERROR(__xludf.DUMMYFUNCTION("""COMPUTED_VALUE"""),"মোঃ শরিফুল ইসলাম")</f>
        <v>মোঃ শরিফুল ইসলাম</v>
      </c>
      <c r="D49" s="1">
        <f>IFERROR(__xludf.DUMMYFUNCTION("""COMPUTED_VALUE"""),5.7005437416E11)</f>
        <v>570054374160</v>
      </c>
      <c r="E49" s="1" t="str">
        <f>IFERROR(__xludf.DUMMYFUNCTION("""COMPUTED_VALUE"""),"মোঃ আঃ মোতালেব")</f>
        <v>মোঃ আঃ মোতালেব</v>
      </c>
      <c r="F49" s="1" t="str">
        <f>IFERROR(__xludf.DUMMYFUNCTION("""COMPUTED_VALUE"""),"মোছাঃ নিবাসন নেছা")</f>
        <v>মোছাঃ নিবাসন নেছা</v>
      </c>
      <c r="G49" s="1" t="str">
        <f>IFERROR(__xludf.DUMMYFUNCTION("""COMPUTED_VALUE"""),"১২/০৫/১৯৬৯")</f>
        <v>১২/০৫/১৯৬৯</v>
      </c>
      <c r="H49" s="1" t="str">
        <f>IFERROR(__xludf.DUMMYFUNCTION("""COMPUTED_VALUE"""),"ব্যবসা")</f>
        <v>ব্যবসা</v>
      </c>
      <c r="I49" s="1" t="str">
        <f>IFERROR(__xludf.DUMMYFUNCTION("""COMPUTED_VALUE"""),"মহিষাখোলা")</f>
        <v>মহিষাখোলা</v>
      </c>
      <c r="J49" s="1" t="str">
        <f>IFERROR(__xludf.DUMMYFUNCTION("""COMPUTED_VALUE""")," গাংনী")</f>
        <v> গাংনী</v>
      </c>
      <c r="K49" s="1" t="str">
        <f>IFERROR(__xludf.DUMMYFUNCTION("""COMPUTED_VALUE""")," মেহেরপুর")</f>
        <v> মেহেরপুর</v>
      </c>
    </row>
    <row r="50">
      <c r="A50" s="6" t="s">
        <v>2135</v>
      </c>
      <c r="B50" s="1">
        <f>IFERROR(__xludf.DUMMYFUNCTION("SPLIT(A50,"","")"),51.0)</f>
        <v>51</v>
      </c>
      <c r="C50" s="1" t="str">
        <f>IFERROR(__xludf.DUMMYFUNCTION("""COMPUTED_VALUE"""),"মোঃ আঃ জাব্বার")</f>
        <v>মোঃ আঃ জাব্বার</v>
      </c>
      <c r="D50" s="1">
        <f>IFERROR(__xludf.DUMMYFUNCTION("""COMPUTED_VALUE"""),5.70054374163E11)</f>
        <v>570054374163</v>
      </c>
      <c r="E50" s="1" t="str">
        <f>IFERROR(__xludf.DUMMYFUNCTION("""COMPUTED_VALUE"""),"মোঃ আঃ জলিল")</f>
        <v>মোঃ আঃ জলিল</v>
      </c>
      <c r="F50" s="1" t="str">
        <f>IFERROR(__xludf.DUMMYFUNCTION("""COMPUTED_VALUE"""),"মোছাঃ নিহারন খাতুন")</f>
        <v>মোছাঃ নিহারন খাতুন</v>
      </c>
      <c r="G50" s="1" t="str">
        <f>IFERROR(__xludf.DUMMYFUNCTION("""COMPUTED_VALUE"""),"০১/০১/১৯৬৮")</f>
        <v>০১/০১/১৯৬৮</v>
      </c>
      <c r="H50" s="1" t="str">
        <f>IFERROR(__xludf.DUMMYFUNCTION("""COMPUTED_VALUE"""),"ব্যবসা")</f>
        <v>ব্যবসা</v>
      </c>
      <c r="I50" s="1" t="str">
        <f>IFERROR(__xludf.DUMMYFUNCTION("""COMPUTED_VALUE"""),"মহিষাখোলা")</f>
        <v>মহিষাখোলা</v>
      </c>
      <c r="J50" s="1" t="str">
        <f>IFERROR(__xludf.DUMMYFUNCTION("""COMPUTED_VALUE""")," গাংনী")</f>
        <v> গাংনী</v>
      </c>
      <c r="K50" s="1" t="str">
        <f>IFERROR(__xludf.DUMMYFUNCTION("""COMPUTED_VALUE""")," মেহেরপুর")</f>
        <v> মেহেরপুর</v>
      </c>
    </row>
    <row r="51">
      <c r="A51" s="6" t="s">
        <v>2136</v>
      </c>
      <c r="B51" s="1">
        <f>IFERROR(__xludf.DUMMYFUNCTION("SPLIT(A51,"","")"),52.0)</f>
        <v>52</v>
      </c>
      <c r="C51" s="1" t="str">
        <f>IFERROR(__xludf.DUMMYFUNCTION("""COMPUTED_VALUE"""),"মোঃ নজরুল ইসলাম")</f>
        <v>মোঃ নজরুল ইসলাম</v>
      </c>
      <c r="D51" s="1">
        <f>IFERROR(__xludf.DUMMYFUNCTION("""COMPUTED_VALUE"""),5.70054374166E11)</f>
        <v>570054374166</v>
      </c>
      <c r="E51" s="1" t="str">
        <f>IFERROR(__xludf.DUMMYFUNCTION("""COMPUTED_VALUE"""),"মোঃ মহিরুদ্দীন")</f>
        <v>মোঃ মহিরুদ্দীন</v>
      </c>
      <c r="F51" s="1" t="str">
        <f>IFERROR(__xludf.DUMMYFUNCTION("""COMPUTED_VALUE"""),"আছিয়া খাতুন")</f>
        <v>আছিয়া খাতুন</v>
      </c>
      <c r="G51" s="1" t="str">
        <f>IFERROR(__xludf.DUMMYFUNCTION("""COMPUTED_VALUE"""),"২৫/০৭/১৯৬৪")</f>
        <v>২৫/০৭/১৯৬৪</v>
      </c>
      <c r="H51" s="1" t="str">
        <f>IFERROR(__xludf.DUMMYFUNCTION("""COMPUTED_VALUE"""),"শ্রমিক")</f>
        <v>শ্রমিক</v>
      </c>
      <c r="I51" s="1" t="str">
        <f>IFERROR(__xludf.DUMMYFUNCTION("""COMPUTED_VALUE"""),"মহিষাখোলা")</f>
        <v>মহিষাখোলা</v>
      </c>
      <c r="J51" s="1" t="str">
        <f>IFERROR(__xludf.DUMMYFUNCTION("""COMPUTED_VALUE""")," গাংনী")</f>
        <v> গাংনী</v>
      </c>
      <c r="K51" s="1" t="str">
        <f>IFERROR(__xludf.DUMMYFUNCTION("""COMPUTED_VALUE""")," মেহেরপুর")</f>
        <v> মেহেরপুর</v>
      </c>
    </row>
    <row r="52">
      <c r="A52" s="6" t="s">
        <v>2137</v>
      </c>
      <c r="B52" s="1">
        <f>IFERROR(__xludf.DUMMYFUNCTION("SPLIT(A52,"","")"),53.0)</f>
        <v>53</v>
      </c>
      <c r="C52" s="1" t="str">
        <f>IFERROR(__xludf.DUMMYFUNCTION("""COMPUTED_VALUE"""),"মোঃ ইদ্রিস আলী")</f>
        <v>মোঃ ইদ্রিস আলী</v>
      </c>
      <c r="D52" s="1">
        <f>IFERROR(__xludf.DUMMYFUNCTION("""COMPUTED_VALUE"""),5.70054374168E11)</f>
        <v>570054374168</v>
      </c>
      <c r="E52" s="1" t="str">
        <f>IFERROR(__xludf.DUMMYFUNCTION("""COMPUTED_VALUE"""),"মোঃ নজরুল ইসলাম")</f>
        <v>মোঃ নজরুল ইসলাম</v>
      </c>
      <c r="F52" s="1" t="str">
        <f>IFERROR(__xludf.DUMMYFUNCTION("""COMPUTED_VALUE"""),"মর্জিনা খাতুন")</f>
        <v>মর্জিনা খাতুন</v>
      </c>
      <c r="G52" s="1" t="str">
        <f>IFERROR(__xludf.DUMMYFUNCTION("""COMPUTED_VALUE"""),"০৩/১২/১৯৭৯")</f>
        <v>০৩/১২/১৯৭৯</v>
      </c>
      <c r="H52" s="1" t="str">
        <f>IFERROR(__xludf.DUMMYFUNCTION("""COMPUTED_VALUE"""),"শ্রমিক")</f>
        <v>শ্রমিক</v>
      </c>
      <c r="I52" s="1" t="str">
        <f>IFERROR(__xludf.DUMMYFUNCTION("""COMPUTED_VALUE"""),"মহিষাখোলা")</f>
        <v>মহিষাখোলা</v>
      </c>
      <c r="J52" s="1" t="str">
        <f>IFERROR(__xludf.DUMMYFUNCTION("""COMPUTED_VALUE""")," গাংনী")</f>
        <v> গাংনী</v>
      </c>
      <c r="K52" s="1" t="str">
        <f>IFERROR(__xludf.DUMMYFUNCTION("""COMPUTED_VALUE""")," মেহেরপুর")</f>
        <v> মেহেরপুর</v>
      </c>
    </row>
    <row r="53">
      <c r="A53" s="6" t="s">
        <v>2138</v>
      </c>
      <c r="B53" s="1">
        <f>IFERROR(__xludf.DUMMYFUNCTION("SPLIT(A53,"","")"),54.0)</f>
        <v>54</v>
      </c>
      <c r="C53" s="1" t="str">
        <f>IFERROR(__xludf.DUMMYFUNCTION("""COMPUTED_VALUE"""),"মোঃ নিয়ামত আলী")</f>
        <v>মোঃ নিয়ামত আলী</v>
      </c>
      <c r="D53" s="1">
        <f>IFERROR(__xludf.DUMMYFUNCTION("""COMPUTED_VALUE"""),5.7005437417E11)</f>
        <v>570054374170</v>
      </c>
      <c r="E53" s="1" t="str">
        <f>IFERROR(__xludf.DUMMYFUNCTION("""COMPUTED_VALUE"""),"আবুল হোসেন")</f>
        <v>আবুল হোসেন</v>
      </c>
      <c r="F53" s="1" t="str">
        <f>IFERROR(__xludf.DUMMYFUNCTION("""COMPUTED_VALUE"""),"মলিদা খাতুন")</f>
        <v>মলিদা খাতুন</v>
      </c>
      <c r="G53" s="1" t="str">
        <f>IFERROR(__xludf.DUMMYFUNCTION("""COMPUTED_VALUE"""),"০৫/১০/১৯৭০")</f>
        <v>০৫/১০/১৯৭০</v>
      </c>
      <c r="H53" s="1" t="str">
        <f>IFERROR(__xludf.DUMMYFUNCTION("""COMPUTED_VALUE"""),"ব্যবসা")</f>
        <v>ব্যবসা</v>
      </c>
      <c r="I53" s="1" t="str">
        <f>IFERROR(__xludf.DUMMYFUNCTION("""COMPUTED_VALUE"""),"মহিষাখোলা")</f>
        <v>মহিষাখোলা</v>
      </c>
      <c r="J53" s="1" t="str">
        <f>IFERROR(__xludf.DUMMYFUNCTION("""COMPUTED_VALUE""")," গাংনী")</f>
        <v> গাংনী</v>
      </c>
      <c r="K53" s="1" t="str">
        <f>IFERROR(__xludf.DUMMYFUNCTION("""COMPUTED_VALUE""")," মেহেরপুর")</f>
        <v> মেহেরপুর</v>
      </c>
    </row>
    <row r="54">
      <c r="A54" s="6" t="s">
        <v>2139</v>
      </c>
      <c r="B54" s="1">
        <f>IFERROR(__xludf.DUMMYFUNCTION("SPLIT(A54,"","")"),55.0)</f>
        <v>55</v>
      </c>
      <c r="C54" s="1" t="str">
        <f>IFERROR(__xludf.DUMMYFUNCTION("""COMPUTED_VALUE"""),"মোঃ আঃ রশিদ")</f>
        <v>মোঃ আঃ রশিদ</v>
      </c>
      <c r="D54" s="1">
        <f>IFERROR(__xludf.DUMMYFUNCTION("""COMPUTED_VALUE"""),5.70054374175E11)</f>
        <v>570054374175</v>
      </c>
      <c r="E54" s="1" t="str">
        <f>IFERROR(__xludf.DUMMYFUNCTION("""COMPUTED_VALUE"""),"অহিল উদ্দীন মন্ডল")</f>
        <v>অহিল উদ্দীন মন্ডল</v>
      </c>
      <c r="F54" s="1" t="str">
        <f>IFERROR(__xludf.DUMMYFUNCTION("""COMPUTED_VALUE"""),"মোছাঃ মলেজান খাতুন")</f>
        <v>মোছাঃ মলেজান খাতুন</v>
      </c>
      <c r="G54" s="1" t="str">
        <f>IFERROR(__xludf.DUMMYFUNCTION("""COMPUTED_VALUE"""),"২৫/১০/১৯৬৯")</f>
        <v>২৫/১০/১৯৬৯</v>
      </c>
      <c r="H54" s="1" t="str">
        <f>IFERROR(__xludf.DUMMYFUNCTION("""COMPUTED_VALUE"""),"শ্রমিক")</f>
        <v>শ্রমিক</v>
      </c>
      <c r="I54" s="1" t="str">
        <f>IFERROR(__xludf.DUMMYFUNCTION("""COMPUTED_VALUE"""),"মহিষাখোলা")</f>
        <v>মহিষাখোলা</v>
      </c>
      <c r="J54" s="1" t="str">
        <f>IFERROR(__xludf.DUMMYFUNCTION("""COMPUTED_VALUE""")," গাংনী")</f>
        <v> গাংনী</v>
      </c>
      <c r="K54" s="1" t="str">
        <f>IFERROR(__xludf.DUMMYFUNCTION("""COMPUTED_VALUE""")," মেহেরপুর")</f>
        <v> মেহেরপুর</v>
      </c>
    </row>
    <row r="55">
      <c r="A55" s="6" t="s">
        <v>2140</v>
      </c>
      <c r="B55" s="1">
        <f>IFERROR(__xludf.DUMMYFUNCTION("SPLIT(A55,"","")"),56.0)</f>
        <v>56</v>
      </c>
      <c r="C55" s="1" t="str">
        <f>IFERROR(__xludf.DUMMYFUNCTION("""COMPUTED_VALUE"""),"মোঃ আলাউদ্দীন")</f>
        <v>মোঃ আলাউদ্দীন</v>
      </c>
      <c r="D55" s="1">
        <f>IFERROR(__xludf.DUMMYFUNCTION("""COMPUTED_VALUE"""),5.70054374176E11)</f>
        <v>570054374176</v>
      </c>
      <c r="E55" s="1" t="str">
        <f>IFERROR(__xludf.DUMMYFUNCTION("""COMPUTED_VALUE"""),"সিরাজুদ্দীন মন্ডল")</f>
        <v>সিরাজুদ্দীন মন্ডল</v>
      </c>
      <c r="F55" s="1" t="str">
        <f>IFERROR(__xludf.DUMMYFUNCTION("""COMPUTED_VALUE"""),"মোছাঃ হালিমা খাতুন")</f>
        <v>মোছাঃ হালিমা খাতুন</v>
      </c>
      <c r="G55" s="1" t="str">
        <f>IFERROR(__xludf.DUMMYFUNCTION("""COMPUTED_VALUE"""),"১০/০২/১৯৮১")</f>
        <v>১০/০২/১৯৮১</v>
      </c>
      <c r="H55" s="1" t="str">
        <f>IFERROR(__xludf.DUMMYFUNCTION("""COMPUTED_VALUE"""),"কৃষক")</f>
        <v>কৃষক</v>
      </c>
      <c r="I55" s="1" t="str">
        <f>IFERROR(__xludf.DUMMYFUNCTION("""COMPUTED_VALUE"""),"মহিষাখোলা")</f>
        <v>মহিষাখোলা</v>
      </c>
      <c r="J55" s="1" t="str">
        <f>IFERROR(__xludf.DUMMYFUNCTION("""COMPUTED_VALUE""")," গাংনী")</f>
        <v> গাংনী</v>
      </c>
      <c r="K55" s="1" t="str">
        <f>IFERROR(__xludf.DUMMYFUNCTION("""COMPUTED_VALUE""")," মেহেরপুর")</f>
        <v> মেহেরপুর</v>
      </c>
    </row>
    <row r="56">
      <c r="A56" s="6" t="s">
        <v>2141</v>
      </c>
      <c r="B56" s="1">
        <f>IFERROR(__xludf.DUMMYFUNCTION("SPLIT(A56,"","")"),57.0)</f>
        <v>57</v>
      </c>
      <c r="C56" s="1" t="str">
        <f>IFERROR(__xludf.DUMMYFUNCTION("""COMPUTED_VALUE"""),"মোঃ আবু বকর ছিদ্দিক")</f>
        <v>মোঃ আবু বকর ছিদ্দিক</v>
      </c>
      <c r="D56" s="1">
        <f>IFERROR(__xludf.DUMMYFUNCTION("""COMPUTED_VALUE"""),5.70054374186E11)</f>
        <v>570054374186</v>
      </c>
      <c r="E56" s="1" t="str">
        <f>IFERROR(__xludf.DUMMYFUNCTION("""COMPUTED_VALUE"""),"মোঃ দেলোয়ার হোসেন")</f>
        <v>মোঃ দেলোয়ার হোসেন</v>
      </c>
      <c r="F56" s="1" t="str">
        <f>IFERROR(__xludf.DUMMYFUNCTION("""COMPUTED_VALUE"""),"মোছাঃ নিহারন খাতুন")</f>
        <v>মোছাঃ নিহারন খাতুন</v>
      </c>
      <c r="G56" s="1" t="str">
        <f>IFERROR(__xludf.DUMMYFUNCTION("""COMPUTED_VALUE"""),"০৫/১০/১৯৬২")</f>
        <v>০৫/১০/১৯৬২</v>
      </c>
      <c r="H56" s="1" t="str">
        <f>IFERROR(__xludf.DUMMYFUNCTION("""COMPUTED_VALUE"""),"শ্রমিক")</f>
        <v>শ্রমিক</v>
      </c>
      <c r="I56" s="1" t="str">
        <f>IFERROR(__xludf.DUMMYFUNCTION("""COMPUTED_VALUE"""),"মহিষাখোলা")</f>
        <v>মহিষাখোলা</v>
      </c>
      <c r="J56" s="1" t="str">
        <f>IFERROR(__xludf.DUMMYFUNCTION("""COMPUTED_VALUE""")," গাংনী")</f>
        <v> গাংনী</v>
      </c>
      <c r="K56" s="1" t="str">
        <f>IFERROR(__xludf.DUMMYFUNCTION("""COMPUTED_VALUE""")," মেহেরপুর")</f>
        <v> মেহেরপুর</v>
      </c>
    </row>
    <row r="57">
      <c r="A57" s="6" t="s">
        <v>2142</v>
      </c>
      <c r="B57" s="1">
        <f>IFERROR(__xludf.DUMMYFUNCTION("SPLIT(A57,"","")"),58.0)</f>
        <v>58</v>
      </c>
      <c r="C57" s="1" t="str">
        <f>IFERROR(__xludf.DUMMYFUNCTION("""COMPUTED_VALUE"""),"মোঃ নজরুল ইসলাম")</f>
        <v>মোঃ নজরুল ইসলাম</v>
      </c>
      <c r="D57" s="1">
        <f>IFERROR(__xludf.DUMMYFUNCTION("""COMPUTED_VALUE"""),5.70054374187E11)</f>
        <v>570054374187</v>
      </c>
      <c r="E57" s="1" t="str">
        <f>IFERROR(__xludf.DUMMYFUNCTION("""COMPUTED_VALUE"""),"মোঃ নজিমুদ্দীন মল্লিক")</f>
        <v>মোঃ নজিমুদ্দীন মল্লিক</v>
      </c>
      <c r="F57" s="1" t="str">
        <f>IFERROR(__xludf.DUMMYFUNCTION("""COMPUTED_VALUE"""),"ছকুরা খাতুন")</f>
        <v>ছকুরা খাতুন</v>
      </c>
      <c r="G57" s="1" t="str">
        <f>IFERROR(__xludf.DUMMYFUNCTION("""COMPUTED_VALUE"""),"২০/০৩/১৯৫৯")</f>
        <v>২০/০৩/১৯৫৯</v>
      </c>
      <c r="H57" s="1" t="str">
        <f>IFERROR(__xludf.DUMMYFUNCTION("""COMPUTED_VALUE"""),"শ্রমিক")</f>
        <v>শ্রমিক</v>
      </c>
      <c r="I57" s="1" t="str">
        <f>IFERROR(__xludf.DUMMYFUNCTION("""COMPUTED_VALUE"""),"মহিষাখোলা")</f>
        <v>মহিষাখোলা</v>
      </c>
      <c r="J57" s="1" t="str">
        <f>IFERROR(__xludf.DUMMYFUNCTION("""COMPUTED_VALUE""")," গাংনী")</f>
        <v> গাংনী</v>
      </c>
      <c r="K57" s="1" t="str">
        <f>IFERROR(__xludf.DUMMYFUNCTION("""COMPUTED_VALUE""")," মেহেরপুর")</f>
        <v> মেহেরপুর</v>
      </c>
    </row>
    <row r="58">
      <c r="A58" s="6" t="s">
        <v>2143</v>
      </c>
      <c r="B58" s="1">
        <f>IFERROR(__xludf.DUMMYFUNCTION("SPLIT(A58,"","")"),59.0)</f>
        <v>59</v>
      </c>
      <c r="C58" s="1" t="str">
        <f>IFERROR(__xludf.DUMMYFUNCTION("""COMPUTED_VALUE"""),"মোঃ আউব আলী")</f>
        <v>মোঃ আউব আলী</v>
      </c>
      <c r="D58" s="1">
        <f>IFERROR(__xludf.DUMMYFUNCTION("""COMPUTED_VALUE"""),5.70054374188E11)</f>
        <v>570054374188</v>
      </c>
      <c r="E58" s="1" t="str">
        <f>IFERROR(__xludf.DUMMYFUNCTION("""COMPUTED_VALUE"""),"শহীদ বক্স")</f>
        <v>শহীদ বক্স</v>
      </c>
      <c r="F58" s="1" t="str">
        <f>IFERROR(__xludf.DUMMYFUNCTION("""COMPUTED_VALUE"""),"মোছাঃ তাহারন নেছা")</f>
        <v>মোছাঃ তাহারন নেছা</v>
      </c>
      <c r="G58" s="1" t="str">
        <f>IFERROR(__xludf.DUMMYFUNCTION("""COMPUTED_VALUE"""),"২০/১০/১৯৬৫")</f>
        <v>২০/১০/১৯৬৫</v>
      </c>
      <c r="H58" s="1" t="str">
        <f>IFERROR(__xludf.DUMMYFUNCTION("""COMPUTED_VALUE"""),"কৃষক")</f>
        <v>কৃষক</v>
      </c>
      <c r="I58" s="1" t="str">
        <f>IFERROR(__xludf.DUMMYFUNCTION("""COMPUTED_VALUE"""),"মহিষাখোলা")</f>
        <v>মহিষাখোলা</v>
      </c>
      <c r="J58" s="1" t="str">
        <f>IFERROR(__xludf.DUMMYFUNCTION("""COMPUTED_VALUE""")," গাংনী")</f>
        <v> গাংনী</v>
      </c>
      <c r="K58" s="1" t="str">
        <f>IFERROR(__xludf.DUMMYFUNCTION("""COMPUTED_VALUE""")," মেহেরপুর")</f>
        <v> মেহেরপুর</v>
      </c>
    </row>
    <row r="59">
      <c r="A59" s="6" t="s">
        <v>2144</v>
      </c>
      <c r="B59" s="1">
        <f>IFERROR(__xludf.DUMMYFUNCTION("SPLIT(A59,"","")"),60.0)</f>
        <v>60</v>
      </c>
      <c r="C59" s="1" t="str">
        <f>IFERROR(__xludf.DUMMYFUNCTION("""COMPUTED_VALUE"""),"মোঃ আনিচুর রহমান")</f>
        <v>মোঃ আনিচুর রহমান</v>
      </c>
      <c r="D59" s="1">
        <f>IFERROR(__xludf.DUMMYFUNCTION("""COMPUTED_VALUE"""),5.7005437419E11)</f>
        <v>570054374190</v>
      </c>
      <c r="E59" s="1" t="str">
        <f>IFERROR(__xludf.DUMMYFUNCTION("""COMPUTED_VALUE"""),"আত্তাব আলী মন্ডল")</f>
        <v>আত্তাব আলী মন্ডল</v>
      </c>
      <c r="F59" s="1" t="str">
        <f>IFERROR(__xludf.DUMMYFUNCTION("""COMPUTED_VALUE"""),"মোছাঃ হামেদা বেগম")</f>
        <v>মোছাঃ হামেদা বেগম</v>
      </c>
      <c r="G59" s="1" t="str">
        <f>IFERROR(__xludf.DUMMYFUNCTION("""COMPUTED_VALUE"""),"১০/০৪/১৯৬৯")</f>
        <v>১০/০৪/১৯৬৯</v>
      </c>
      <c r="H59" s="1" t="str">
        <f>IFERROR(__xludf.DUMMYFUNCTION("""COMPUTED_VALUE"""),"শ্রমিক")</f>
        <v>শ্রমিক</v>
      </c>
      <c r="I59" s="1" t="str">
        <f>IFERROR(__xludf.DUMMYFUNCTION("""COMPUTED_VALUE"""),"মহিষাখোলা")</f>
        <v>মহিষাখোলা</v>
      </c>
      <c r="J59" s="1" t="str">
        <f>IFERROR(__xludf.DUMMYFUNCTION("""COMPUTED_VALUE""")," গাংনী")</f>
        <v> গাংনী</v>
      </c>
      <c r="K59" s="1" t="str">
        <f>IFERROR(__xludf.DUMMYFUNCTION("""COMPUTED_VALUE""")," মেহেরপুর")</f>
        <v> মেহেরপুর</v>
      </c>
    </row>
    <row r="60">
      <c r="A60" s="6" t="s">
        <v>2145</v>
      </c>
      <c r="B60" s="1">
        <f>IFERROR(__xludf.DUMMYFUNCTION("SPLIT(A60,"","")"),61.0)</f>
        <v>61</v>
      </c>
      <c r="C60" s="1" t="str">
        <f>IFERROR(__xludf.DUMMYFUNCTION("""COMPUTED_VALUE"""),"মোঃ মফিজুর রহমান")</f>
        <v>মোঃ মফিজুর রহমান</v>
      </c>
      <c r="D60" s="1">
        <f>IFERROR(__xludf.DUMMYFUNCTION("""COMPUTED_VALUE"""),5.70054374191E11)</f>
        <v>570054374191</v>
      </c>
      <c r="E60" s="1" t="str">
        <f>IFERROR(__xludf.DUMMYFUNCTION("""COMPUTED_VALUE"""),"আত্তাব আলী মন্ডল")</f>
        <v>আত্তাব আলী মন্ডল</v>
      </c>
      <c r="F60" s="1" t="str">
        <f>IFERROR(__xludf.DUMMYFUNCTION("""COMPUTED_VALUE"""),"মোছাঃ হামেদা বেগম")</f>
        <v>মোছাঃ হামেদা বেগম</v>
      </c>
      <c r="G60" s="1" t="str">
        <f>IFERROR(__xludf.DUMMYFUNCTION("""COMPUTED_VALUE"""),"০৫/০৪/১৯৮৫")</f>
        <v>০৫/০৪/১৯৮৫</v>
      </c>
      <c r="H60" s="1" t="str">
        <f>IFERROR(__xludf.DUMMYFUNCTION("""COMPUTED_VALUE"""),"কৃষক")</f>
        <v>কৃষক</v>
      </c>
      <c r="I60" s="1" t="str">
        <f>IFERROR(__xludf.DUMMYFUNCTION("""COMPUTED_VALUE"""),"মহিষাখোলা")</f>
        <v>মহিষাখোলা</v>
      </c>
      <c r="J60" s="1" t="str">
        <f>IFERROR(__xludf.DUMMYFUNCTION("""COMPUTED_VALUE""")," গাংনী")</f>
        <v> গাংনী</v>
      </c>
      <c r="K60" s="1" t="str">
        <f>IFERROR(__xludf.DUMMYFUNCTION("""COMPUTED_VALUE""")," মেহেরপুর")</f>
        <v> মেহেরপুর</v>
      </c>
    </row>
    <row r="61">
      <c r="A61" s="6" t="s">
        <v>2146</v>
      </c>
      <c r="B61" s="1">
        <f>IFERROR(__xludf.DUMMYFUNCTION("SPLIT(A61,"","")"),62.0)</f>
        <v>62</v>
      </c>
      <c r="C61" s="1" t="str">
        <f>IFERROR(__xludf.DUMMYFUNCTION("""COMPUTED_VALUE"""),"মোঃ হাফিজুর রহমান")</f>
        <v>মোঃ হাফিজুর রহমান</v>
      </c>
      <c r="D61" s="1">
        <f>IFERROR(__xludf.DUMMYFUNCTION("""COMPUTED_VALUE"""),5.70054374192E11)</f>
        <v>570054374192</v>
      </c>
      <c r="E61" s="1" t="str">
        <f>IFERROR(__xludf.DUMMYFUNCTION("""COMPUTED_VALUE"""),"দাউদ আলী")</f>
        <v>দাউদ আলী</v>
      </c>
      <c r="F61" s="1" t="str">
        <f>IFERROR(__xludf.DUMMYFUNCTION("""COMPUTED_VALUE"""),"মোছাঃ বিবিজান")</f>
        <v>মোছাঃ বিবিজান</v>
      </c>
      <c r="G61" s="1" t="str">
        <f>IFERROR(__xludf.DUMMYFUNCTION("""COMPUTED_VALUE"""),"১০/০৪/১৯৭৪")</f>
        <v>১০/০৪/১৯৭৪</v>
      </c>
      <c r="H61" s="1" t="str">
        <f>IFERROR(__xludf.DUMMYFUNCTION("""COMPUTED_VALUE"""),"কৃষক")</f>
        <v>কৃষক</v>
      </c>
      <c r="I61" s="1" t="str">
        <f>IFERROR(__xludf.DUMMYFUNCTION("""COMPUTED_VALUE"""),"মহিষাখোলা")</f>
        <v>মহিষাখোলা</v>
      </c>
      <c r="J61" s="1" t="str">
        <f>IFERROR(__xludf.DUMMYFUNCTION("""COMPUTED_VALUE""")," গাংনী")</f>
        <v> গাংনী</v>
      </c>
      <c r="K61" s="1" t="str">
        <f>IFERROR(__xludf.DUMMYFUNCTION("""COMPUTED_VALUE""")," মেহেরপুর")</f>
        <v> মেহেরপুর</v>
      </c>
    </row>
    <row r="62">
      <c r="A62" s="6" t="s">
        <v>2147</v>
      </c>
      <c r="B62" s="1">
        <f>IFERROR(__xludf.DUMMYFUNCTION("SPLIT(A62,"","")"),63.0)</f>
        <v>63</v>
      </c>
      <c r="C62" s="1" t="str">
        <f>IFERROR(__xludf.DUMMYFUNCTION("""COMPUTED_VALUE"""),"মোঃ ইনামুল হক")</f>
        <v>মোঃ ইনামুল হক</v>
      </c>
      <c r="D62" s="1">
        <f>IFERROR(__xludf.DUMMYFUNCTION("""COMPUTED_VALUE"""),5.70054374194E11)</f>
        <v>570054374194</v>
      </c>
      <c r="E62" s="1" t="str">
        <f>IFERROR(__xludf.DUMMYFUNCTION("""COMPUTED_VALUE"""),"মোঃ জালাল উদ্দীন")</f>
        <v>মোঃ জালাল উদ্দীন</v>
      </c>
      <c r="F62" s="1" t="str">
        <f>IFERROR(__xludf.DUMMYFUNCTION("""COMPUTED_VALUE"""),"মোছাঃ সহনা খাতুন")</f>
        <v>মোছাঃ সহনা খাতুন</v>
      </c>
      <c r="G62" s="1" t="str">
        <f>IFERROR(__xludf.DUMMYFUNCTION("""COMPUTED_VALUE"""),"০৪/০৫/১৯৮২")</f>
        <v>০৪/০৫/১৯৮২</v>
      </c>
      <c r="H62" s="1" t="str">
        <f>IFERROR(__xludf.DUMMYFUNCTION("""COMPUTED_VALUE"""),"কৃষক")</f>
        <v>কৃষক</v>
      </c>
      <c r="I62" s="1" t="str">
        <f>IFERROR(__xludf.DUMMYFUNCTION("""COMPUTED_VALUE"""),"মহিষাখোলা")</f>
        <v>মহিষাখোলা</v>
      </c>
      <c r="J62" s="1" t="str">
        <f>IFERROR(__xludf.DUMMYFUNCTION("""COMPUTED_VALUE""")," গাংনী")</f>
        <v> গাংনী</v>
      </c>
      <c r="K62" s="1" t="str">
        <f>IFERROR(__xludf.DUMMYFUNCTION("""COMPUTED_VALUE""")," মেহেরপুর")</f>
        <v> মেহেরপুর</v>
      </c>
    </row>
    <row r="63">
      <c r="A63" s="6" t="s">
        <v>2148</v>
      </c>
      <c r="B63" s="1">
        <f>IFERROR(__xludf.DUMMYFUNCTION("SPLIT(A63,"","")"),64.0)</f>
        <v>64</v>
      </c>
      <c r="C63" s="1" t="str">
        <f>IFERROR(__xludf.DUMMYFUNCTION("""COMPUTED_VALUE"""),"মোঃ আজিজুল হক")</f>
        <v>মোঃ আজিজুল হক</v>
      </c>
      <c r="D63" s="1">
        <f>IFERROR(__xludf.DUMMYFUNCTION("""COMPUTED_VALUE"""),5.700543742E11)</f>
        <v>570054374200</v>
      </c>
      <c r="E63" s="1" t="str">
        <f>IFERROR(__xludf.DUMMYFUNCTION("""COMPUTED_VALUE"""),"ইছাহক আলী")</f>
        <v>ইছাহক আলী</v>
      </c>
      <c r="F63" s="1" t="str">
        <f>IFERROR(__xludf.DUMMYFUNCTION("""COMPUTED_VALUE"""),"মোছাঃ জমেলা খাতুন")</f>
        <v>মোছাঃ জমেলা খাতুন</v>
      </c>
      <c r="G63" s="1" t="str">
        <f>IFERROR(__xludf.DUMMYFUNCTION("""COMPUTED_VALUE"""),"০৪/১০/১৯৪৭")</f>
        <v>০৪/১০/১৯৪৭</v>
      </c>
      <c r="H63" s="1" t="str">
        <f>IFERROR(__xludf.DUMMYFUNCTION("""COMPUTED_VALUE"""),"কৃষক")</f>
        <v>কৃষক</v>
      </c>
      <c r="I63" s="1" t="str">
        <f>IFERROR(__xludf.DUMMYFUNCTION("""COMPUTED_VALUE"""),"মহিষাখোলা")</f>
        <v>মহিষাখোলা</v>
      </c>
      <c r="J63" s="1" t="str">
        <f>IFERROR(__xludf.DUMMYFUNCTION("""COMPUTED_VALUE""")," গাংনী")</f>
        <v> গাংনী</v>
      </c>
      <c r="K63" s="1" t="str">
        <f>IFERROR(__xludf.DUMMYFUNCTION("""COMPUTED_VALUE""")," মেহেরপুর")</f>
        <v> মেহেরপুর</v>
      </c>
    </row>
    <row r="64">
      <c r="A64" s="6" t="s">
        <v>2149</v>
      </c>
      <c r="B64" s="1">
        <f>IFERROR(__xludf.DUMMYFUNCTION("SPLIT(A64,"","")"),65.0)</f>
        <v>65</v>
      </c>
      <c r="C64" s="1" t="str">
        <f>IFERROR(__xludf.DUMMYFUNCTION("""COMPUTED_VALUE"""),"মোঃ বাবলু হোসেন")</f>
        <v>মোঃ বাবলু হোসেন</v>
      </c>
      <c r="D64" s="1">
        <f>IFERROR(__xludf.DUMMYFUNCTION("""COMPUTED_VALUE"""),5.70054374201E11)</f>
        <v>570054374201</v>
      </c>
      <c r="E64" s="1" t="str">
        <f>IFERROR(__xludf.DUMMYFUNCTION("""COMPUTED_VALUE"""),"মোঃ মুনছুর আলী")</f>
        <v>মোঃ মুনছুর আলী</v>
      </c>
      <c r="F64" s="1" t="str">
        <f>IFERROR(__xludf.DUMMYFUNCTION("""COMPUTED_VALUE"""),"মোছাঃ নূরজাহান খাতুন")</f>
        <v>মোছাঃ নূরজাহান খাতুন</v>
      </c>
      <c r="G64" s="1" t="str">
        <f>IFERROR(__xludf.DUMMYFUNCTION("""COMPUTED_VALUE"""),"১০/০৫/১৯৭৩")</f>
        <v>১০/০৫/১৯৭৩</v>
      </c>
      <c r="H64" s="1" t="str">
        <f>IFERROR(__xludf.DUMMYFUNCTION("""COMPUTED_VALUE"""),"শ্রমিক")</f>
        <v>শ্রমিক</v>
      </c>
      <c r="I64" s="1" t="str">
        <f>IFERROR(__xludf.DUMMYFUNCTION("""COMPUTED_VALUE"""),"মহিষাখোলা")</f>
        <v>মহিষাখোলা</v>
      </c>
      <c r="J64" s="1" t="str">
        <f>IFERROR(__xludf.DUMMYFUNCTION("""COMPUTED_VALUE""")," গাংনী")</f>
        <v> গাংনী</v>
      </c>
      <c r="K64" s="1" t="str">
        <f>IFERROR(__xludf.DUMMYFUNCTION("""COMPUTED_VALUE""")," মেহেরপুর")</f>
        <v> মেহেরপুর</v>
      </c>
    </row>
    <row r="65">
      <c r="A65" s="6" t="s">
        <v>2150</v>
      </c>
      <c r="B65" s="1">
        <f>IFERROR(__xludf.DUMMYFUNCTION("SPLIT(A65,"","")"),66.0)</f>
        <v>66</v>
      </c>
      <c r="C65" s="1" t="str">
        <f>IFERROR(__xludf.DUMMYFUNCTION("""COMPUTED_VALUE"""),"মোঃ তারিকুল ইসলাম")</f>
        <v>মোঃ তারিকুল ইসলাম</v>
      </c>
      <c r="D65" s="1">
        <f>IFERROR(__xludf.DUMMYFUNCTION("""COMPUTED_VALUE"""),5.70054374202E11)</f>
        <v>570054374202</v>
      </c>
      <c r="E65" s="1" t="str">
        <f>IFERROR(__xludf.DUMMYFUNCTION("""COMPUTED_VALUE"""),"ছিয়ামুদ্দীন")</f>
        <v>ছিয়ামুদ্দীন</v>
      </c>
      <c r="F65" s="1" t="str">
        <f>IFERROR(__xludf.DUMMYFUNCTION("""COMPUTED_VALUE"""),"মোছাঃ ছদিরন নেছা")</f>
        <v>মোছাঃ ছদিরন নেছা</v>
      </c>
      <c r="G65" s="1" t="str">
        <f>IFERROR(__xludf.DUMMYFUNCTION("""COMPUTED_VALUE"""),"১০/০৫/১৯৮৪")</f>
        <v>১০/০৫/১৯৮৪</v>
      </c>
      <c r="H65" s="1" t="str">
        <f>IFERROR(__xludf.DUMMYFUNCTION("""COMPUTED_VALUE"""),"দিনমজুর")</f>
        <v>দিনমজুর</v>
      </c>
      <c r="I65" s="1" t="str">
        <f>IFERROR(__xludf.DUMMYFUNCTION("""COMPUTED_VALUE"""),"মহিষাখোলা")</f>
        <v>মহিষাখোলা</v>
      </c>
      <c r="J65" s="1" t="str">
        <f>IFERROR(__xludf.DUMMYFUNCTION("""COMPUTED_VALUE""")," গাংনী")</f>
        <v> গাংনী</v>
      </c>
      <c r="K65" s="1" t="str">
        <f>IFERROR(__xludf.DUMMYFUNCTION("""COMPUTED_VALUE""")," মেহেরপুর")</f>
        <v> মেহেরপুর</v>
      </c>
    </row>
    <row r="66">
      <c r="A66" s="6" t="s">
        <v>2151</v>
      </c>
      <c r="B66" s="1">
        <f>IFERROR(__xludf.DUMMYFUNCTION("SPLIT(A66,"","")"),67.0)</f>
        <v>67</v>
      </c>
      <c r="C66" s="1" t="str">
        <f>IFERROR(__xludf.DUMMYFUNCTION("""COMPUTED_VALUE"""),"মোঃ আলফাজ উদ্দীন")</f>
        <v>মোঃ আলফাজ উদ্দীন</v>
      </c>
      <c r="D66" s="1">
        <f>IFERROR(__xludf.DUMMYFUNCTION("""COMPUTED_VALUE"""),5.70054374204E11)</f>
        <v>570054374204</v>
      </c>
      <c r="E66" s="1" t="str">
        <f>IFERROR(__xludf.DUMMYFUNCTION("""COMPUTED_VALUE"""),"মোঃ আউব আলী")</f>
        <v>মোঃ আউব আলী</v>
      </c>
      <c r="F66" s="1" t="str">
        <f>IFERROR(__xludf.DUMMYFUNCTION("""COMPUTED_VALUE"""),"মোছাঃ আকলিমা খাতুন")</f>
        <v>মোছাঃ আকলিমা খাতুন</v>
      </c>
      <c r="G66" s="1" t="str">
        <f>IFERROR(__xludf.DUMMYFUNCTION("""COMPUTED_VALUE"""),"১০/০৫/১৯৮৩")</f>
        <v>১০/০৫/১৯৮৩</v>
      </c>
      <c r="H66" s="1" t="str">
        <f>IFERROR(__xludf.DUMMYFUNCTION("""COMPUTED_VALUE"""),"কৃষক")</f>
        <v>কৃষক</v>
      </c>
      <c r="I66" s="1" t="str">
        <f>IFERROR(__xludf.DUMMYFUNCTION("""COMPUTED_VALUE"""),"মহিষাখোলা")</f>
        <v>মহিষাখোলা</v>
      </c>
      <c r="J66" s="1" t="str">
        <f>IFERROR(__xludf.DUMMYFUNCTION("""COMPUTED_VALUE""")," গাংনী")</f>
        <v> গাংনী</v>
      </c>
      <c r="K66" s="1" t="str">
        <f>IFERROR(__xludf.DUMMYFUNCTION("""COMPUTED_VALUE""")," মেহেরপুর")</f>
        <v> মেহেরপুর</v>
      </c>
    </row>
    <row r="67">
      <c r="A67" s="6" t="s">
        <v>2152</v>
      </c>
      <c r="B67" s="1">
        <f>IFERROR(__xludf.DUMMYFUNCTION("SPLIT(A67,"","")"),68.0)</f>
        <v>68</v>
      </c>
      <c r="C67" s="1" t="str">
        <f>IFERROR(__xludf.DUMMYFUNCTION("""COMPUTED_VALUE"""),"মোঃ আউব আলী")</f>
        <v>মোঃ আউব আলী</v>
      </c>
      <c r="D67" s="1">
        <f>IFERROR(__xludf.DUMMYFUNCTION("""COMPUTED_VALUE"""),5.70054374205E11)</f>
        <v>570054374205</v>
      </c>
      <c r="E67" s="1" t="str">
        <f>IFERROR(__xludf.DUMMYFUNCTION("""COMPUTED_VALUE"""),"নূরবক্স মন্ডল")</f>
        <v>নূরবক্স মন্ডল</v>
      </c>
      <c r="F67" s="1" t="str">
        <f>IFERROR(__xludf.DUMMYFUNCTION("""COMPUTED_VALUE"""),"মোছাঃ ছারেজান খাতুন")</f>
        <v>মোছাঃ ছারেজান খাতুন</v>
      </c>
      <c r="G67" s="1" t="str">
        <f>IFERROR(__xludf.DUMMYFUNCTION("""COMPUTED_VALUE"""),"১০/০৪/১৯৬১")</f>
        <v>১০/০৪/১৯৬১</v>
      </c>
      <c r="H67" s="1" t="str">
        <f>IFERROR(__xludf.DUMMYFUNCTION("""COMPUTED_VALUE"""),"কৃষক")</f>
        <v>কৃষক</v>
      </c>
      <c r="I67" s="1" t="str">
        <f>IFERROR(__xludf.DUMMYFUNCTION("""COMPUTED_VALUE"""),"মহিষাখোলা")</f>
        <v>মহিষাখোলা</v>
      </c>
      <c r="J67" s="1" t="str">
        <f>IFERROR(__xludf.DUMMYFUNCTION("""COMPUTED_VALUE""")," গাংনী")</f>
        <v> গাংনী</v>
      </c>
      <c r="K67" s="1" t="str">
        <f>IFERROR(__xludf.DUMMYFUNCTION("""COMPUTED_VALUE""")," মেহেরপুর")</f>
        <v> মেহেরপুর</v>
      </c>
    </row>
    <row r="68">
      <c r="A68" s="6" t="s">
        <v>2153</v>
      </c>
      <c r="B68" s="1">
        <f>IFERROR(__xludf.DUMMYFUNCTION("SPLIT(A68,"","")"),69.0)</f>
        <v>69</v>
      </c>
      <c r="C68" s="1" t="str">
        <f>IFERROR(__xludf.DUMMYFUNCTION("""COMPUTED_VALUE"""),"মোঃ জাহাঙ্গীর আলম")</f>
        <v>মোঃ জাহাঙ্গীর আলম</v>
      </c>
      <c r="D68" s="1">
        <f>IFERROR(__xludf.DUMMYFUNCTION("""COMPUTED_VALUE"""),5.70054374209E11)</f>
        <v>570054374209</v>
      </c>
      <c r="E68" s="1" t="str">
        <f>IFERROR(__xludf.DUMMYFUNCTION("""COMPUTED_VALUE"""),"মোঃ আজাদ বকস")</f>
        <v>মোঃ আজাদ বকস</v>
      </c>
      <c r="F68" s="1" t="str">
        <f>IFERROR(__xludf.DUMMYFUNCTION("""COMPUTED_VALUE"""),"মোছাঃ হাওয়া খাতুন")</f>
        <v>মোছাঃ হাওয়া খাতুন</v>
      </c>
      <c r="G68" s="1" t="str">
        <f>IFERROR(__xludf.DUMMYFUNCTION("""COMPUTED_VALUE"""),"০৫/০৭/১৯৭৯")</f>
        <v>০৫/০৭/১৯৭৯</v>
      </c>
      <c r="H68" s="1" t="str">
        <f>IFERROR(__xludf.DUMMYFUNCTION("""COMPUTED_VALUE"""),"কৃষক")</f>
        <v>কৃষক</v>
      </c>
      <c r="I68" s="1" t="str">
        <f>IFERROR(__xludf.DUMMYFUNCTION("""COMPUTED_VALUE"""),"মহিষাখোলা")</f>
        <v>মহিষাখোলা</v>
      </c>
      <c r="J68" s="1" t="str">
        <f>IFERROR(__xludf.DUMMYFUNCTION("""COMPUTED_VALUE""")," গাংনী")</f>
        <v> গাংনী</v>
      </c>
      <c r="K68" s="1" t="str">
        <f>IFERROR(__xludf.DUMMYFUNCTION("""COMPUTED_VALUE""")," মেহেরপুর")</f>
        <v> মেহেরপুর</v>
      </c>
    </row>
    <row r="69">
      <c r="A69" s="6" t="s">
        <v>2154</v>
      </c>
      <c r="B69" s="1">
        <f>IFERROR(__xludf.DUMMYFUNCTION("SPLIT(A69,"","")"),70.0)</f>
        <v>70</v>
      </c>
      <c r="C69" s="1" t="str">
        <f>IFERROR(__xludf.DUMMYFUNCTION("""COMPUTED_VALUE"""),"মোঃ ইসরাফিল আলম")</f>
        <v>মোঃ ইসরাফিল আলম</v>
      </c>
      <c r="D69" s="1">
        <f>IFERROR(__xludf.DUMMYFUNCTION("""COMPUTED_VALUE"""),5.7005437421E11)</f>
        <v>570054374210</v>
      </c>
      <c r="E69" s="1" t="str">
        <f>IFERROR(__xludf.DUMMYFUNCTION("""COMPUTED_VALUE"""),"মোহাঃ আরজুল্লাহ")</f>
        <v>মোহাঃ আরজুল্লাহ</v>
      </c>
      <c r="F69" s="1" t="str">
        <f>IFERROR(__xludf.DUMMYFUNCTION("""COMPUTED_VALUE"""),"মোছাঃ মদিনা খাতুন")</f>
        <v>মোছাঃ মদিনা খাতুন</v>
      </c>
      <c r="G69" s="1" t="str">
        <f>IFERROR(__xludf.DUMMYFUNCTION("""COMPUTED_VALUE"""),"১৫/০৩/১৯৭৩")</f>
        <v>১৫/০৩/১৯৭৩</v>
      </c>
      <c r="H69" s="1" t="str">
        <f>IFERROR(__xludf.DUMMYFUNCTION("""COMPUTED_VALUE"""),"শ্রমিক")</f>
        <v>শ্রমিক</v>
      </c>
      <c r="I69" s="1" t="str">
        <f>IFERROR(__xludf.DUMMYFUNCTION("""COMPUTED_VALUE"""),"মহিষাখোলা")</f>
        <v>মহিষাখোলা</v>
      </c>
      <c r="J69" s="1" t="str">
        <f>IFERROR(__xludf.DUMMYFUNCTION("""COMPUTED_VALUE""")," গাংনী")</f>
        <v> গাংনী</v>
      </c>
      <c r="K69" s="1" t="str">
        <f>IFERROR(__xludf.DUMMYFUNCTION("""COMPUTED_VALUE""")," মেহেরপুর")</f>
        <v> মেহেরপুর</v>
      </c>
    </row>
    <row r="70">
      <c r="A70" s="6" t="s">
        <v>2155</v>
      </c>
      <c r="B70" s="1">
        <f>IFERROR(__xludf.DUMMYFUNCTION("SPLIT(A70,"","")"),71.0)</f>
        <v>71</v>
      </c>
      <c r="C70" s="1" t="str">
        <f>IFERROR(__xludf.DUMMYFUNCTION("""COMPUTED_VALUE"""),"মোঃ আবুল কাশেম")</f>
        <v>মোঃ আবুল কাশেম</v>
      </c>
      <c r="D70" s="1">
        <f>IFERROR(__xludf.DUMMYFUNCTION("""COMPUTED_VALUE"""),5.70054374216E11)</f>
        <v>570054374216</v>
      </c>
      <c r="E70" s="1" t="str">
        <f>IFERROR(__xludf.DUMMYFUNCTION("""COMPUTED_VALUE"""),"কাদের বকস")</f>
        <v>কাদের বকস</v>
      </c>
      <c r="F70" s="1" t="str">
        <f>IFERROR(__xludf.DUMMYFUNCTION("""COMPUTED_VALUE"""),"মোছাঃ পিরন নেছা")</f>
        <v>মোছাঃ পিরন নেছা</v>
      </c>
      <c r="G70" s="1" t="str">
        <f>IFERROR(__xludf.DUMMYFUNCTION("""COMPUTED_VALUE"""),"২২/০৫/১৯৫৭")</f>
        <v>২২/০৫/১৯৫৭</v>
      </c>
      <c r="H70" s="1" t="str">
        <f>IFERROR(__xludf.DUMMYFUNCTION("""COMPUTED_VALUE"""),"কৃষক")</f>
        <v>কৃষক</v>
      </c>
      <c r="I70" s="1" t="str">
        <f>IFERROR(__xludf.DUMMYFUNCTION("""COMPUTED_VALUE"""),"মহিষাখোলা")</f>
        <v>মহিষাখোলা</v>
      </c>
      <c r="J70" s="1" t="str">
        <f>IFERROR(__xludf.DUMMYFUNCTION("""COMPUTED_VALUE""")," গাংনী")</f>
        <v> গাংনী</v>
      </c>
      <c r="K70" s="1" t="str">
        <f>IFERROR(__xludf.DUMMYFUNCTION("""COMPUTED_VALUE""")," মেহেরপুর")</f>
        <v> মেহেরপুর</v>
      </c>
    </row>
    <row r="71">
      <c r="A71" s="6" t="s">
        <v>2156</v>
      </c>
      <c r="B71" s="1">
        <f>IFERROR(__xludf.DUMMYFUNCTION("SPLIT(A71,"","")"),72.0)</f>
        <v>72</v>
      </c>
      <c r="C71" s="1" t="str">
        <f>IFERROR(__xludf.DUMMYFUNCTION("""COMPUTED_VALUE"""),"মোঃ ওহিদ আলী")</f>
        <v>মোঃ ওহিদ আলী</v>
      </c>
      <c r="D71" s="1">
        <f>IFERROR(__xludf.DUMMYFUNCTION("""COMPUTED_VALUE"""),5.70054374217E11)</f>
        <v>570054374217</v>
      </c>
      <c r="E71" s="1" t="str">
        <f>IFERROR(__xludf.DUMMYFUNCTION("""COMPUTED_VALUE"""),"বাছের মন্ডল")</f>
        <v>বাছের মন্ডল</v>
      </c>
      <c r="F71" s="1" t="str">
        <f>IFERROR(__xludf.DUMMYFUNCTION("""COMPUTED_VALUE"""),"মোছাঃ নিমরী খাতুন")</f>
        <v>মোছাঃ নিমরী খাতুন</v>
      </c>
      <c r="G71" s="1" t="str">
        <f>IFERROR(__xludf.DUMMYFUNCTION("""COMPUTED_VALUE"""),"০৬/০৯/১৯৬৫")</f>
        <v>০৬/০৯/১৯৬৫</v>
      </c>
      <c r="H71" s="1" t="str">
        <f>IFERROR(__xludf.DUMMYFUNCTION("""COMPUTED_VALUE"""),"শ্রমিক")</f>
        <v>শ্রমিক</v>
      </c>
      <c r="I71" s="1" t="str">
        <f>IFERROR(__xludf.DUMMYFUNCTION("""COMPUTED_VALUE"""),"মহিষাখোলা")</f>
        <v>মহিষাখোলা</v>
      </c>
      <c r="J71" s="1" t="str">
        <f>IFERROR(__xludf.DUMMYFUNCTION("""COMPUTED_VALUE""")," গাংনী")</f>
        <v> গাংনী</v>
      </c>
      <c r="K71" s="1" t="str">
        <f>IFERROR(__xludf.DUMMYFUNCTION("""COMPUTED_VALUE""")," মেহেরপুর")</f>
        <v> মেহেরপুর</v>
      </c>
    </row>
    <row r="72">
      <c r="A72" s="6" t="s">
        <v>2157</v>
      </c>
      <c r="B72" s="1">
        <f>IFERROR(__xludf.DUMMYFUNCTION("SPLIT(A72,"","")"),73.0)</f>
        <v>73</v>
      </c>
      <c r="C72" s="1" t="str">
        <f>IFERROR(__xludf.DUMMYFUNCTION("""COMPUTED_VALUE"""),"মোঃ সাজিদুল")</f>
        <v>মোঃ সাজিদুল</v>
      </c>
      <c r="D72" s="1">
        <f>IFERROR(__xludf.DUMMYFUNCTION("""COMPUTED_VALUE"""),5.70054374218E11)</f>
        <v>570054374218</v>
      </c>
      <c r="E72" s="1" t="str">
        <f>IFERROR(__xludf.DUMMYFUNCTION("""COMPUTED_VALUE"""),"আজিজুল হক")</f>
        <v>আজিজুল হক</v>
      </c>
      <c r="F72" s="1" t="str">
        <f>IFERROR(__xludf.DUMMYFUNCTION("""COMPUTED_VALUE"""),"সবেদা খাতুন")</f>
        <v>সবেদা খাতুন</v>
      </c>
      <c r="G72" s="1" t="str">
        <f>IFERROR(__xludf.DUMMYFUNCTION("""COMPUTED_VALUE"""),"১৪/০৬/১৯৭৪")</f>
        <v>১৪/০৬/১৯৭৪</v>
      </c>
      <c r="H72" s="1" t="str">
        <f>IFERROR(__xludf.DUMMYFUNCTION("""COMPUTED_VALUE"""),"কৃষক")</f>
        <v>কৃষক</v>
      </c>
      <c r="I72" s="1" t="str">
        <f>IFERROR(__xludf.DUMMYFUNCTION("""COMPUTED_VALUE"""),"মহিষাখোলা")</f>
        <v>মহিষাখোলা</v>
      </c>
      <c r="J72" s="1" t="str">
        <f>IFERROR(__xludf.DUMMYFUNCTION("""COMPUTED_VALUE""")," গাংনী")</f>
        <v> গাংনী</v>
      </c>
      <c r="K72" s="1" t="str">
        <f>IFERROR(__xludf.DUMMYFUNCTION("""COMPUTED_VALUE""")," মেহেরপুর")</f>
        <v> মেহেরপুর</v>
      </c>
    </row>
    <row r="73">
      <c r="A73" s="6" t="s">
        <v>2158</v>
      </c>
      <c r="B73" s="1">
        <f>IFERROR(__xludf.DUMMYFUNCTION("SPLIT(A73,"","")"),74.0)</f>
        <v>74</v>
      </c>
      <c r="C73" s="1" t="str">
        <f>IFERROR(__xludf.DUMMYFUNCTION("""COMPUTED_VALUE"""),"মোঃ আসমত আলী")</f>
        <v>মোঃ আসমত আলী</v>
      </c>
      <c r="D73" s="1">
        <f>IFERROR(__xludf.DUMMYFUNCTION("""COMPUTED_VALUE"""),5.70054374222E11)</f>
        <v>570054374222</v>
      </c>
      <c r="E73" s="1" t="str">
        <f>IFERROR(__xludf.DUMMYFUNCTION("""COMPUTED_VALUE"""),"মোঃ মওলা বকস")</f>
        <v>মোঃ মওলা বকস</v>
      </c>
      <c r="F73" s="1" t="str">
        <f>IFERROR(__xludf.DUMMYFUNCTION("""COMPUTED_VALUE"""),"আয়শা খাতুন")</f>
        <v>আয়শা খাতুন</v>
      </c>
      <c r="G73" s="1" t="str">
        <f>IFERROR(__xludf.DUMMYFUNCTION("""COMPUTED_VALUE"""),"০২/০৫/১৯৭০")</f>
        <v>০২/০৫/১৯৭০</v>
      </c>
      <c r="H73" s="1" t="str">
        <f>IFERROR(__xludf.DUMMYFUNCTION("""COMPUTED_VALUE"""),"শ্রমিক")</f>
        <v>শ্রমিক</v>
      </c>
      <c r="I73" s="1" t="str">
        <f>IFERROR(__xludf.DUMMYFUNCTION("""COMPUTED_VALUE"""),"মহিষাখোলা")</f>
        <v>মহিষাখোলা</v>
      </c>
      <c r="J73" s="1" t="str">
        <f>IFERROR(__xludf.DUMMYFUNCTION("""COMPUTED_VALUE""")," গাংনী")</f>
        <v> গাংনী</v>
      </c>
      <c r="K73" s="1" t="str">
        <f>IFERROR(__xludf.DUMMYFUNCTION("""COMPUTED_VALUE""")," মেহেরপুর")</f>
        <v> মেহেরপুর</v>
      </c>
    </row>
    <row r="74">
      <c r="A74" s="6" t="s">
        <v>2159</v>
      </c>
      <c r="B74" s="1">
        <f>IFERROR(__xludf.DUMMYFUNCTION("SPLIT(A74,"","")"),75.0)</f>
        <v>75</v>
      </c>
      <c r="C74" s="1" t="str">
        <f>IFERROR(__xludf.DUMMYFUNCTION("""COMPUTED_VALUE"""),"মোঃ হামিদুল ইসলাম")</f>
        <v>মোঃ হামিদুল ইসলাম</v>
      </c>
      <c r="D74" s="1">
        <f>IFERROR(__xludf.DUMMYFUNCTION("""COMPUTED_VALUE"""),5.70054374224E11)</f>
        <v>570054374224</v>
      </c>
      <c r="E74" s="1" t="str">
        <f>IFERROR(__xludf.DUMMYFUNCTION("""COMPUTED_VALUE"""),"দাউদ বিশ্বাস")</f>
        <v>দাউদ বিশ্বাস</v>
      </c>
      <c r="F74" s="1" t="str">
        <f>IFERROR(__xludf.DUMMYFUNCTION("""COMPUTED_VALUE"""),"মোছাঃ বিবিজান")</f>
        <v>মোছাঃ বিবিজান</v>
      </c>
      <c r="G74" s="1" t="str">
        <f>IFERROR(__xludf.DUMMYFUNCTION("""COMPUTED_VALUE"""),"১৩/০৭/১৯৮৪")</f>
        <v>১৩/০৭/১৯৮৪</v>
      </c>
      <c r="H74" s="1" t="str">
        <f>IFERROR(__xludf.DUMMYFUNCTION("""COMPUTED_VALUE"""),"কৃষক")</f>
        <v>কৃষক</v>
      </c>
      <c r="I74" s="1" t="str">
        <f>IFERROR(__xludf.DUMMYFUNCTION("""COMPUTED_VALUE"""),"মহিষাখোলা")</f>
        <v>মহিষাখোলা</v>
      </c>
      <c r="J74" s="1" t="str">
        <f>IFERROR(__xludf.DUMMYFUNCTION("""COMPUTED_VALUE""")," গাংনী")</f>
        <v> গাংনী</v>
      </c>
      <c r="K74" s="1" t="str">
        <f>IFERROR(__xludf.DUMMYFUNCTION("""COMPUTED_VALUE""")," মেহেরপুর")</f>
        <v> মেহেরপুর</v>
      </c>
    </row>
    <row r="75">
      <c r="A75" s="6" t="s">
        <v>2160</v>
      </c>
      <c r="B75" s="1">
        <f>IFERROR(__xludf.DUMMYFUNCTION("SPLIT(A75,"","")"),76.0)</f>
        <v>76</v>
      </c>
      <c r="C75" s="1" t="str">
        <f>IFERROR(__xludf.DUMMYFUNCTION("""COMPUTED_VALUE"""),"মোঃ আঃ রহমান")</f>
        <v>মোঃ আঃ রহমান</v>
      </c>
      <c r="D75" s="1">
        <f>IFERROR(__xludf.DUMMYFUNCTION("""COMPUTED_VALUE"""),5.70054374225E11)</f>
        <v>570054374225</v>
      </c>
      <c r="E75" s="1" t="str">
        <f>IFERROR(__xludf.DUMMYFUNCTION("""COMPUTED_VALUE"""),"খোরশেদ আলী")</f>
        <v>খোরশেদ আলী</v>
      </c>
      <c r="F75" s="1" t="str">
        <f>IFERROR(__xludf.DUMMYFUNCTION("""COMPUTED_VALUE"""),"মোছাঃ ময়ফুল নেছা")</f>
        <v>মোছাঃ ময়ফুল নেছা</v>
      </c>
      <c r="G75" s="1" t="str">
        <f>IFERROR(__xludf.DUMMYFUNCTION("""COMPUTED_VALUE"""),"১২/০৬/১৯৭৫")</f>
        <v>১২/০৬/১৯৭৫</v>
      </c>
      <c r="H75" s="1" t="str">
        <f>IFERROR(__xludf.DUMMYFUNCTION("""COMPUTED_VALUE"""),"ব্যবসা")</f>
        <v>ব্যবসা</v>
      </c>
      <c r="I75" s="1" t="str">
        <f>IFERROR(__xludf.DUMMYFUNCTION("""COMPUTED_VALUE"""),"মহিষাখোলা")</f>
        <v>মহিষাখোলা</v>
      </c>
      <c r="J75" s="1" t="str">
        <f>IFERROR(__xludf.DUMMYFUNCTION("""COMPUTED_VALUE""")," গাংনী")</f>
        <v> গাংনী</v>
      </c>
      <c r="K75" s="1" t="str">
        <f>IFERROR(__xludf.DUMMYFUNCTION("""COMPUTED_VALUE""")," মেহেরপুর")</f>
        <v> মেহেরপুর</v>
      </c>
    </row>
    <row r="76">
      <c r="A76" s="6" t="s">
        <v>2161</v>
      </c>
      <c r="B76" s="1">
        <f>IFERROR(__xludf.DUMMYFUNCTION("SPLIT(A76,"","")"),77.0)</f>
        <v>77</v>
      </c>
      <c r="C76" s="1" t="str">
        <f>IFERROR(__xludf.DUMMYFUNCTION("""COMPUTED_VALUE"""),"মোঃ আঃ মমিন")</f>
        <v>মোঃ আঃ মমিন</v>
      </c>
      <c r="D76" s="1">
        <f>IFERROR(__xludf.DUMMYFUNCTION("""COMPUTED_VALUE"""),5.70054374226E11)</f>
        <v>570054374226</v>
      </c>
      <c r="E76" s="1" t="str">
        <f>IFERROR(__xludf.DUMMYFUNCTION("""COMPUTED_VALUE"""),"দাউদ আলী")</f>
        <v>দাউদ আলী</v>
      </c>
      <c r="F76" s="1" t="str">
        <f>IFERROR(__xludf.DUMMYFUNCTION("""COMPUTED_VALUE"""),"মোছাঃ বিবিজান")</f>
        <v>মোছাঃ বিবিজান</v>
      </c>
      <c r="G76" s="1" t="str">
        <f>IFERROR(__xludf.DUMMYFUNCTION("""COMPUTED_VALUE"""),"১০/০৩/১৯৬৩")</f>
        <v>১০/০৩/১৯৬৩</v>
      </c>
      <c r="H76" s="1" t="str">
        <f>IFERROR(__xludf.DUMMYFUNCTION("""COMPUTED_VALUE"""),"কৃষক")</f>
        <v>কৃষক</v>
      </c>
      <c r="I76" s="1" t="str">
        <f>IFERROR(__xludf.DUMMYFUNCTION("""COMPUTED_VALUE"""),"মহিষাখোলা")</f>
        <v>মহিষাখোলা</v>
      </c>
      <c r="J76" s="1" t="str">
        <f>IFERROR(__xludf.DUMMYFUNCTION("""COMPUTED_VALUE""")," গাংনী")</f>
        <v> গাংনী</v>
      </c>
      <c r="K76" s="1" t="str">
        <f>IFERROR(__xludf.DUMMYFUNCTION("""COMPUTED_VALUE""")," মেহেরপুর")</f>
        <v> মেহেরপুর</v>
      </c>
    </row>
    <row r="77">
      <c r="A77" s="6" t="s">
        <v>2162</v>
      </c>
      <c r="B77" s="1">
        <f>IFERROR(__xludf.DUMMYFUNCTION("SPLIT(A77,"","")"),78.0)</f>
        <v>78</v>
      </c>
      <c r="C77" s="1" t="str">
        <f>IFERROR(__xludf.DUMMYFUNCTION("""COMPUTED_VALUE"""),"মোঃ আবেদ আলী")</f>
        <v>মোঃ আবেদ আলী</v>
      </c>
      <c r="D77" s="1">
        <f>IFERROR(__xludf.DUMMYFUNCTION("""COMPUTED_VALUE"""),5.70054374227E11)</f>
        <v>570054374227</v>
      </c>
      <c r="E77" s="1" t="str">
        <f>IFERROR(__xludf.DUMMYFUNCTION("""COMPUTED_VALUE"""),"খেজমত আলী")</f>
        <v>খেজমত আলী</v>
      </c>
      <c r="F77" s="1" t="str">
        <f>IFERROR(__xludf.DUMMYFUNCTION("""COMPUTED_VALUE"""),"মোছাঃ পাঁচিরন বিবি")</f>
        <v>মোছাঃ পাঁচিরন বিবি</v>
      </c>
      <c r="G77" s="1" t="str">
        <f>IFERROR(__xludf.DUMMYFUNCTION("""COMPUTED_VALUE"""),"২০/০৪/১৯৬২")</f>
        <v>২০/০৪/১৯৬২</v>
      </c>
      <c r="H77" s="1" t="str">
        <f>IFERROR(__xludf.DUMMYFUNCTION("""COMPUTED_VALUE"""),"কৃষক")</f>
        <v>কৃষক</v>
      </c>
      <c r="I77" s="1" t="str">
        <f>IFERROR(__xludf.DUMMYFUNCTION("""COMPUTED_VALUE"""),"মহিষাখোলা")</f>
        <v>মহিষাখোলা</v>
      </c>
      <c r="J77" s="1" t="str">
        <f>IFERROR(__xludf.DUMMYFUNCTION("""COMPUTED_VALUE""")," গাংনী")</f>
        <v> গাংনী</v>
      </c>
      <c r="K77" s="1" t="str">
        <f>IFERROR(__xludf.DUMMYFUNCTION("""COMPUTED_VALUE""")," মেহেরপুর")</f>
        <v> মেহেরপুর</v>
      </c>
    </row>
    <row r="78">
      <c r="A78" s="6" t="s">
        <v>2163</v>
      </c>
      <c r="B78" s="1">
        <f>IFERROR(__xludf.DUMMYFUNCTION("SPLIT(A78,"","")"),79.0)</f>
        <v>79</v>
      </c>
      <c r="C78" s="1" t="str">
        <f>IFERROR(__xludf.DUMMYFUNCTION("""COMPUTED_VALUE"""),"মোঃ হায়দার আলী")</f>
        <v>মোঃ হায়দার আলী</v>
      </c>
      <c r="D78" s="1">
        <f>IFERROR(__xludf.DUMMYFUNCTION("""COMPUTED_VALUE"""),5.70054374228E11)</f>
        <v>570054374228</v>
      </c>
      <c r="E78" s="1" t="str">
        <f>IFERROR(__xludf.DUMMYFUNCTION("""COMPUTED_VALUE"""),"মহিরুদ্দীন জোয়ার্দ্দার")</f>
        <v>মহিরুদ্দীন জোয়ার্দ্দার</v>
      </c>
      <c r="F78" s="1" t="str">
        <f>IFERROR(__xludf.DUMMYFUNCTION("""COMPUTED_VALUE"""),"মোছাঃ রমেছা খাতুন")</f>
        <v>মোছাঃ রমেছা খাতুন</v>
      </c>
      <c r="G78" s="1" t="str">
        <f>IFERROR(__xludf.DUMMYFUNCTION("""COMPUTED_VALUE"""),"০৫/০৯/১৯৬৩")</f>
        <v>০৫/০৯/১৯৬৩</v>
      </c>
      <c r="H78" s="1" t="str">
        <f>IFERROR(__xludf.DUMMYFUNCTION("""COMPUTED_VALUE"""),"শ্রমিক")</f>
        <v>শ্রমিক</v>
      </c>
      <c r="I78" s="1" t="str">
        <f>IFERROR(__xludf.DUMMYFUNCTION("""COMPUTED_VALUE"""),"মহিষাখোলা")</f>
        <v>মহিষাখোলা</v>
      </c>
      <c r="J78" s="1" t="str">
        <f>IFERROR(__xludf.DUMMYFUNCTION("""COMPUTED_VALUE""")," গাংনী")</f>
        <v> গাংনী</v>
      </c>
      <c r="K78" s="1" t="str">
        <f>IFERROR(__xludf.DUMMYFUNCTION("""COMPUTED_VALUE""")," মেহেরপুর")</f>
        <v> মেহেরপুর</v>
      </c>
    </row>
    <row r="79">
      <c r="A79" s="6" t="s">
        <v>2164</v>
      </c>
      <c r="B79" s="1">
        <f>IFERROR(__xludf.DUMMYFUNCTION("SPLIT(A79,"","")"),80.0)</f>
        <v>80</v>
      </c>
      <c r="C79" s="1" t="str">
        <f>IFERROR(__xludf.DUMMYFUNCTION("""COMPUTED_VALUE"""),"মোঃ জামাত আলী")</f>
        <v>মোঃ জামাত আলী</v>
      </c>
      <c r="D79" s="1">
        <f>IFERROR(__xludf.DUMMYFUNCTION("""COMPUTED_VALUE"""),5.70054374231E11)</f>
        <v>570054374231</v>
      </c>
      <c r="E79" s="1" t="str">
        <f>IFERROR(__xludf.DUMMYFUNCTION("""COMPUTED_VALUE"""),"খবির উদ্দীন")</f>
        <v>খবির উদ্দীন</v>
      </c>
      <c r="F79" s="1" t="str">
        <f>IFERROR(__xludf.DUMMYFUNCTION("""COMPUTED_VALUE"""),"মোছাঃ রোকেয়া খাতুন")</f>
        <v>মোছাঃ রোকেয়া খাতুন</v>
      </c>
      <c r="G79" s="1" t="str">
        <f>IFERROR(__xludf.DUMMYFUNCTION("""COMPUTED_VALUE"""),"০৭/১০/১৯৬২")</f>
        <v>০৭/১০/১৯৬২</v>
      </c>
      <c r="H79" s="1" t="str">
        <f>IFERROR(__xludf.DUMMYFUNCTION("""COMPUTED_VALUE"""),"কৃষক")</f>
        <v>কৃষক</v>
      </c>
      <c r="I79" s="1" t="str">
        <f>IFERROR(__xludf.DUMMYFUNCTION("""COMPUTED_VALUE"""),"মহিষাখোলা")</f>
        <v>মহিষাখোলা</v>
      </c>
      <c r="J79" s="1" t="str">
        <f>IFERROR(__xludf.DUMMYFUNCTION("""COMPUTED_VALUE""")," গাংনী")</f>
        <v> গাংনী</v>
      </c>
      <c r="K79" s="1" t="str">
        <f>IFERROR(__xludf.DUMMYFUNCTION("""COMPUTED_VALUE""")," মেহেরপুর")</f>
        <v> মেহেরপুর</v>
      </c>
    </row>
    <row r="80">
      <c r="A80" s="6" t="s">
        <v>2165</v>
      </c>
      <c r="B80" s="1">
        <f>IFERROR(__xludf.DUMMYFUNCTION("SPLIT(A80,"","")"),81.0)</f>
        <v>81</v>
      </c>
      <c r="C80" s="1" t="str">
        <f>IFERROR(__xludf.DUMMYFUNCTION("""COMPUTED_VALUE"""),"মোঃ আব্দুর রশিদ")</f>
        <v>মোঃ আব্দুর রশিদ</v>
      </c>
      <c r="D80" s="1">
        <f>IFERROR(__xludf.DUMMYFUNCTION("""COMPUTED_VALUE"""),5.70054374233E11)</f>
        <v>570054374233</v>
      </c>
      <c r="E80" s="1" t="str">
        <f>IFERROR(__xludf.DUMMYFUNCTION("""COMPUTED_VALUE"""),"মোঃ দোয়াত আলী")</f>
        <v>মোঃ দোয়াত আলী</v>
      </c>
      <c r="F80" s="1" t="str">
        <f>IFERROR(__xludf.DUMMYFUNCTION("""COMPUTED_VALUE"""),"মোছাঃ মনোয়ারা খাতুন")</f>
        <v>মোছাঃ মনোয়ারা খাতুন</v>
      </c>
      <c r="G80" s="1" t="str">
        <f>IFERROR(__xludf.DUMMYFUNCTION("""COMPUTED_VALUE"""),"২১/১১/১৯৮৮")</f>
        <v>২১/১১/১৯৮৮</v>
      </c>
      <c r="H80" s="1" t="str">
        <f>IFERROR(__xludf.DUMMYFUNCTION("""COMPUTED_VALUE"""),"কৃষক")</f>
        <v>কৃষক</v>
      </c>
      <c r="I80" s="1" t="str">
        <f>IFERROR(__xludf.DUMMYFUNCTION("""COMPUTED_VALUE"""),"মহিষাখোলা")</f>
        <v>মহিষাখোলা</v>
      </c>
      <c r="J80" s="1" t="str">
        <f>IFERROR(__xludf.DUMMYFUNCTION("""COMPUTED_VALUE""")," গাংনী")</f>
        <v> গাংনী</v>
      </c>
      <c r="K80" s="1" t="str">
        <f>IFERROR(__xludf.DUMMYFUNCTION("""COMPUTED_VALUE""")," মেহেরপুর")</f>
        <v> মেহেরপুর</v>
      </c>
    </row>
    <row r="81">
      <c r="A81" s="6" t="s">
        <v>2166</v>
      </c>
      <c r="B81" s="1">
        <f>IFERROR(__xludf.DUMMYFUNCTION("SPLIT(A81,"","")"),82.0)</f>
        <v>82</v>
      </c>
      <c r="C81" s="1" t="str">
        <f>IFERROR(__xludf.DUMMYFUNCTION("""COMPUTED_VALUE"""),"মোঃ রেজাউল হক")</f>
        <v>মোঃ রেজাউল হক</v>
      </c>
      <c r="D81" s="1">
        <f>IFERROR(__xludf.DUMMYFUNCTION("""COMPUTED_VALUE"""),5.70054374234E11)</f>
        <v>570054374234</v>
      </c>
      <c r="E81" s="1" t="str">
        <f>IFERROR(__xludf.DUMMYFUNCTION("""COMPUTED_VALUE"""),"মোঃ আবুল কাশেম")</f>
        <v>মোঃ আবুল কাশেম</v>
      </c>
      <c r="F81" s="1" t="str">
        <f>IFERROR(__xludf.DUMMYFUNCTION("""COMPUTED_VALUE"""),"মোছাঃ নূরজাহান বেগম")</f>
        <v>মোছাঃ নূরজাহান বেগম</v>
      </c>
      <c r="G81" s="1" t="str">
        <f>IFERROR(__xludf.DUMMYFUNCTION("""COMPUTED_VALUE"""),"০৯/১০/১৯৭৬")</f>
        <v>০৯/১০/১৯৭৬</v>
      </c>
      <c r="H81" s="1" t="str">
        <f>IFERROR(__xludf.DUMMYFUNCTION("""COMPUTED_VALUE"""),"শিক্ষক")</f>
        <v>শিক্ষক</v>
      </c>
      <c r="I81" s="1" t="str">
        <f>IFERROR(__xludf.DUMMYFUNCTION("""COMPUTED_VALUE"""),"মহিষাখোলা")</f>
        <v>মহিষাখোলা</v>
      </c>
      <c r="J81" s="1" t="str">
        <f>IFERROR(__xludf.DUMMYFUNCTION("""COMPUTED_VALUE""")," গাংনী")</f>
        <v> গাংনী</v>
      </c>
      <c r="K81" s="1" t="str">
        <f>IFERROR(__xludf.DUMMYFUNCTION("""COMPUTED_VALUE""")," মেহেরপুর")</f>
        <v> মেহেরপুর</v>
      </c>
    </row>
    <row r="82">
      <c r="A82" s="6" t="s">
        <v>2167</v>
      </c>
      <c r="B82" s="1">
        <f>IFERROR(__xludf.DUMMYFUNCTION("SPLIT(A82,"","")"),83.0)</f>
        <v>83</v>
      </c>
      <c r="C82" s="1" t="str">
        <f>IFERROR(__xludf.DUMMYFUNCTION("""COMPUTED_VALUE"""),"মোঃ আনিছুর রহমান")</f>
        <v>মোঃ আনিছুর রহমান</v>
      </c>
      <c r="D82" s="1">
        <f>IFERROR(__xludf.DUMMYFUNCTION("""COMPUTED_VALUE"""),5.7005437424E11)</f>
        <v>570054374240</v>
      </c>
      <c r="E82" s="1" t="str">
        <f>IFERROR(__xludf.DUMMYFUNCTION("""COMPUTED_VALUE"""),"শামসুল হক মিয়া")</f>
        <v>শামসুল হক মিয়া</v>
      </c>
      <c r="F82" s="1" t="str">
        <f>IFERROR(__xludf.DUMMYFUNCTION("""COMPUTED_VALUE"""),"মোছাঃ জাহানারা বেগম")</f>
        <v>মোছাঃ জাহানারা বেগম</v>
      </c>
      <c r="G82" s="1" t="str">
        <f>IFERROR(__xludf.DUMMYFUNCTION("""COMPUTED_VALUE"""),"২০/০৫/১৯৬৩")</f>
        <v>২০/০৫/১৯৬৩</v>
      </c>
      <c r="H82" s="1" t="str">
        <f>IFERROR(__xludf.DUMMYFUNCTION("""COMPUTED_VALUE"""),"কৃষক")</f>
        <v>কৃষক</v>
      </c>
      <c r="I82" s="1" t="str">
        <f>IFERROR(__xludf.DUMMYFUNCTION("""COMPUTED_VALUE"""),"মহিষাখোলা")</f>
        <v>মহিষাখোলা</v>
      </c>
      <c r="J82" s="1" t="str">
        <f>IFERROR(__xludf.DUMMYFUNCTION("""COMPUTED_VALUE""")," গাংনী")</f>
        <v> গাংনী</v>
      </c>
      <c r="K82" s="1" t="str">
        <f>IFERROR(__xludf.DUMMYFUNCTION("""COMPUTED_VALUE""")," মেহেরপুর")</f>
        <v> মেহেরপুর</v>
      </c>
    </row>
    <row r="83">
      <c r="A83" s="6" t="s">
        <v>2168</v>
      </c>
      <c r="B83" s="1">
        <f>IFERROR(__xludf.DUMMYFUNCTION("SPLIT(A83,"","")"),84.0)</f>
        <v>84</v>
      </c>
      <c r="C83" s="1" t="str">
        <f>IFERROR(__xludf.DUMMYFUNCTION("""COMPUTED_VALUE"""),"মোঃ আঃ মজিদ")</f>
        <v>মোঃ আঃ মজিদ</v>
      </c>
      <c r="D83" s="1">
        <f>IFERROR(__xludf.DUMMYFUNCTION("""COMPUTED_VALUE"""),5.70054374244E11)</f>
        <v>570054374244</v>
      </c>
      <c r="E83" s="1" t="str">
        <f>IFERROR(__xludf.DUMMYFUNCTION("""COMPUTED_VALUE"""),"দিদার আলী বিশ্বাস")</f>
        <v>দিদার আলী বিশ্বাস</v>
      </c>
      <c r="F83" s="1" t="str">
        <f>IFERROR(__xludf.DUMMYFUNCTION("""COMPUTED_VALUE"""),"মোছাঃ নছিমন নেছা")</f>
        <v>মোছাঃ নছিমন নেছা</v>
      </c>
      <c r="G83" s="1" t="str">
        <f>IFERROR(__xludf.DUMMYFUNCTION("""COMPUTED_VALUE"""),"২০/০৪/১৯৬১")</f>
        <v>২০/০৪/১৯৬১</v>
      </c>
      <c r="H83" s="1" t="str">
        <f>IFERROR(__xludf.DUMMYFUNCTION("""COMPUTED_VALUE"""),"কৃষক")</f>
        <v>কৃষক</v>
      </c>
      <c r="I83" s="1" t="str">
        <f>IFERROR(__xludf.DUMMYFUNCTION("""COMPUTED_VALUE"""),"মহিষাখোলা")</f>
        <v>মহিষাখোলা</v>
      </c>
      <c r="J83" s="1" t="str">
        <f>IFERROR(__xludf.DUMMYFUNCTION("""COMPUTED_VALUE""")," গাংনী")</f>
        <v> গাংনী</v>
      </c>
      <c r="K83" s="1" t="str">
        <f>IFERROR(__xludf.DUMMYFUNCTION("""COMPUTED_VALUE""")," মেহেরপুর")</f>
        <v> মেহেরপুর</v>
      </c>
    </row>
    <row r="84">
      <c r="A84" s="6" t="s">
        <v>2169</v>
      </c>
      <c r="B84" s="1">
        <f>IFERROR(__xludf.DUMMYFUNCTION("SPLIT(A84,"","")"),85.0)</f>
        <v>85</v>
      </c>
      <c r="C84" s="1" t="str">
        <f>IFERROR(__xludf.DUMMYFUNCTION("""COMPUTED_VALUE"""),"মোঃ দোয়াত আলী")</f>
        <v>মোঃ দোয়াত আলী</v>
      </c>
      <c r="D84" s="1">
        <f>IFERROR(__xludf.DUMMYFUNCTION("""COMPUTED_VALUE"""),5.70054374245E11)</f>
        <v>570054374245</v>
      </c>
      <c r="E84" s="1" t="str">
        <f>IFERROR(__xludf.DUMMYFUNCTION("""COMPUTED_VALUE"""),"মোঃ আকছার মন্ডল")</f>
        <v>মোঃ আকছার মন্ডল</v>
      </c>
      <c r="F84" s="1" t="str">
        <f>IFERROR(__xludf.DUMMYFUNCTION("""COMPUTED_VALUE"""),"আনোয়ারা খাতুন")</f>
        <v>আনোয়ারা খাতুন</v>
      </c>
      <c r="G84" s="1" t="str">
        <f>IFERROR(__xludf.DUMMYFUNCTION("""COMPUTED_VALUE"""),"১০/০৪/১৯৬২")</f>
        <v>১০/০৪/১৯৬২</v>
      </c>
      <c r="H84" s="1" t="str">
        <f>IFERROR(__xludf.DUMMYFUNCTION("""COMPUTED_VALUE"""),"কৃষক")</f>
        <v>কৃষক</v>
      </c>
      <c r="I84" s="1" t="str">
        <f>IFERROR(__xludf.DUMMYFUNCTION("""COMPUTED_VALUE"""),"মহিষাখোলা")</f>
        <v>মহিষাখোলা</v>
      </c>
      <c r="J84" s="1" t="str">
        <f>IFERROR(__xludf.DUMMYFUNCTION("""COMPUTED_VALUE""")," গাংনী")</f>
        <v> গাংনী</v>
      </c>
      <c r="K84" s="1" t="str">
        <f>IFERROR(__xludf.DUMMYFUNCTION("""COMPUTED_VALUE""")," মেহেরপুর")</f>
        <v> মেহেরপুর</v>
      </c>
    </row>
    <row r="85">
      <c r="A85" s="6" t="s">
        <v>2170</v>
      </c>
      <c r="B85" s="1">
        <f>IFERROR(__xludf.DUMMYFUNCTION("SPLIT(A85,"","")"),86.0)</f>
        <v>86</v>
      </c>
      <c r="C85" s="1" t="str">
        <f>IFERROR(__xludf.DUMMYFUNCTION("""COMPUTED_VALUE"""),"মোঃ জেছের উদ্দীন")</f>
        <v>মোঃ জেছের উদ্দীন</v>
      </c>
      <c r="D85" s="1">
        <f>IFERROR(__xludf.DUMMYFUNCTION("""COMPUTED_VALUE"""),5.70054374246E11)</f>
        <v>570054374246</v>
      </c>
      <c r="E85" s="1" t="str">
        <f>IFERROR(__xludf.DUMMYFUNCTION("""COMPUTED_VALUE"""),"বদর উদ্দীন")</f>
        <v>বদর উদ্দীন</v>
      </c>
      <c r="F85" s="1" t="str">
        <f>IFERROR(__xludf.DUMMYFUNCTION("""COMPUTED_VALUE"""),"মোছাঃ রমেলা খাতুন")</f>
        <v>মোছাঃ রমেলা খাতুন</v>
      </c>
      <c r="G85" s="1" t="str">
        <f>IFERROR(__xludf.DUMMYFUNCTION("""COMPUTED_VALUE"""),"৩০/০৪/১৯৭১")</f>
        <v>৩০/০৪/১৯৭১</v>
      </c>
      <c r="H85" s="1" t="str">
        <f>IFERROR(__xludf.DUMMYFUNCTION("""COMPUTED_VALUE"""),"শ্রমিক")</f>
        <v>শ্রমিক</v>
      </c>
      <c r="I85" s="1" t="str">
        <f>IFERROR(__xludf.DUMMYFUNCTION("""COMPUTED_VALUE"""),"মহিষাখোলা")</f>
        <v>মহিষাখোলা</v>
      </c>
      <c r="J85" s="1" t="str">
        <f>IFERROR(__xludf.DUMMYFUNCTION("""COMPUTED_VALUE""")," গাংনী")</f>
        <v> গাংনী</v>
      </c>
      <c r="K85" s="1" t="str">
        <f>IFERROR(__xludf.DUMMYFUNCTION("""COMPUTED_VALUE""")," মেহেরপুর")</f>
        <v> মেহেরপুর</v>
      </c>
    </row>
    <row r="86">
      <c r="A86" s="6" t="s">
        <v>2171</v>
      </c>
      <c r="B86" s="1">
        <f>IFERROR(__xludf.DUMMYFUNCTION("SPLIT(A86,"","")"),87.0)</f>
        <v>87</v>
      </c>
      <c r="C86" s="1" t="str">
        <f>IFERROR(__xludf.DUMMYFUNCTION("""COMPUTED_VALUE"""),"মোঃ ইছারুদ্দীন")</f>
        <v>মোঃ ইছারুদ্দীন</v>
      </c>
      <c r="D86" s="1">
        <f>IFERROR(__xludf.DUMMYFUNCTION("""COMPUTED_VALUE"""),5.70054374247E11)</f>
        <v>570054374247</v>
      </c>
      <c r="E86" s="1" t="str">
        <f>IFERROR(__xludf.DUMMYFUNCTION("""COMPUTED_VALUE"""),"বদর উদ্দীন")</f>
        <v>বদর উদ্দীন</v>
      </c>
      <c r="F86" s="1" t="str">
        <f>IFERROR(__xludf.DUMMYFUNCTION("""COMPUTED_VALUE"""),"মোছাঃ রমেলা খাতুন")</f>
        <v>মোছাঃ রমেলা খাতুন</v>
      </c>
      <c r="G86" s="1" t="str">
        <f>IFERROR(__xludf.DUMMYFUNCTION("""COMPUTED_VALUE"""),"১০/০৫/১৯৬৯")</f>
        <v>১০/০৫/১৯৬৯</v>
      </c>
      <c r="H86" s="1" t="str">
        <f>IFERROR(__xludf.DUMMYFUNCTION("""COMPUTED_VALUE"""),"শ্রমিক")</f>
        <v>শ্রমিক</v>
      </c>
      <c r="I86" s="1" t="str">
        <f>IFERROR(__xludf.DUMMYFUNCTION("""COMPUTED_VALUE"""),"মহিষাখোলা")</f>
        <v>মহিষাখোলা</v>
      </c>
      <c r="J86" s="1" t="str">
        <f>IFERROR(__xludf.DUMMYFUNCTION("""COMPUTED_VALUE""")," গাংনী")</f>
        <v> গাংনী</v>
      </c>
      <c r="K86" s="1" t="str">
        <f>IFERROR(__xludf.DUMMYFUNCTION("""COMPUTED_VALUE""")," মেহেরপুর")</f>
        <v> মেহেরপুর</v>
      </c>
    </row>
    <row r="87">
      <c r="A87" s="6" t="s">
        <v>2172</v>
      </c>
      <c r="B87" s="1">
        <f>IFERROR(__xludf.DUMMYFUNCTION("SPLIT(A87,"","")"),88.0)</f>
        <v>88</v>
      </c>
      <c r="C87" s="1" t="str">
        <f>IFERROR(__xludf.DUMMYFUNCTION("""COMPUTED_VALUE"""),"মোঃ মুছারুদ্দীন")</f>
        <v>মোঃ মুছারুদ্দীন</v>
      </c>
      <c r="D87" s="1">
        <f>IFERROR(__xludf.DUMMYFUNCTION("""COMPUTED_VALUE"""),5.70054374248E11)</f>
        <v>570054374248</v>
      </c>
      <c r="E87" s="1" t="str">
        <f>IFERROR(__xludf.DUMMYFUNCTION("""COMPUTED_VALUE"""),"বদরদ্দীন")</f>
        <v>বদরদ্দীন</v>
      </c>
      <c r="F87" s="1" t="str">
        <f>IFERROR(__xludf.DUMMYFUNCTION("""COMPUTED_VALUE"""),"মোছাঃ রমেলা খাতুন")</f>
        <v>মোছাঃ রমেলা খাতুন</v>
      </c>
      <c r="G87" s="1" t="str">
        <f>IFERROR(__xludf.DUMMYFUNCTION("""COMPUTED_VALUE"""),"২০/১০/১৯৬৫")</f>
        <v>২০/১০/১৯৬৫</v>
      </c>
      <c r="H87" s="1" t="str">
        <f>IFERROR(__xludf.DUMMYFUNCTION("""COMPUTED_VALUE"""),"কৃষক")</f>
        <v>কৃষক</v>
      </c>
      <c r="I87" s="1" t="str">
        <f>IFERROR(__xludf.DUMMYFUNCTION("""COMPUTED_VALUE"""),"মহিষাখোলা")</f>
        <v>মহিষাখোলা</v>
      </c>
      <c r="J87" s="1" t="str">
        <f>IFERROR(__xludf.DUMMYFUNCTION("""COMPUTED_VALUE""")," গাংনী")</f>
        <v> গাংনী</v>
      </c>
      <c r="K87" s="1" t="str">
        <f>IFERROR(__xludf.DUMMYFUNCTION("""COMPUTED_VALUE""")," মেহেরপুর")</f>
        <v> মেহেরপুর</v>
      </c>
    </row>
    <row r="88">
      <c r="A88" s="6" t="s">
        <v>2173</v>
      </c>
      <c r="B88" s="1">
        <f>IFERROR(__xludf.DUMMYFUNCTION("SPLIT(A88,"","")"),89.0)</f>
        <v>89</v>
      </c>
      <c r="C88" s="1" t="str">
        <f>IFERROR(__xludf.DUMMYFUNCTION("""COMPUTED_VALUE"""),"মোঃ মজিবর রহমান")</f>
        <v>মোঃ মজিবর রহমান</v>
      </c>
      <c r="D88" s="1">
        <f>IFERROR(__xludf.DUMMYFUNCTION("""COMPUTED_VALUE"""),5.70054374249E11)</f>
        <v>570054374249</v>
      </c>
      <c r="E88" s="1" t="str">
        <f>IFERROR(__xludf.DUMMYFUNCTION("""COMPUTED_VALUE"""),"ফুলবাস মন্ডল")</f>
        <v>ফুলবাস মন্ডল</v>
      </c>
      <c r="F88" s="1" t="str">
        <f>IFERROR(__xludf.DUMMYFUNCTION("""COMPUTED_VALUE"""),"মোছাঃ নেকজান")</f>
        <v>মোছাঃ নেকজান</v>
      </c>
      <c r="G88" s="1" t="str">
        <f>IFERROR(__xludf.DUMMYFUNCTION("""COMPUTED_VALUE"""),"৩১/১২/১৯৬০")</f>
        <v>৩১/১২/১৯৬০</v>
      </c>
      <c r="H88" s="1" t="str">
        <f>IFERROR(__xludf.DUMMYFUNCTION("""COMPUTED_VALUE"""),"শ্রমিক")</f>
        <v>শ্রমিক</v>
      </c>
      <c r="I88" s="1" t="str">
        <f>IFERROR(__xludf.DUMMYFUNCTION("""COMPUTED_VALUE"""),"মহিষাখোলা")</f>
        <v>মহিষাখোলা</v>
      </c>
      <c r="J88" s="1" t="str">
        <f>IFERROR(__xludf.DUMMYFUNCTION("""COMPUTED_VALUE""")," গাংনী")</f>
        <v> গাংনী</v>
      </c>
      <c r="K88" s="1" t="str">
        <f>IFERROR(__xludf.DUMMYFUNCTION("""COMPUTED_VALUE""")," মেহেরপুর")</f>
        <v> মেহেরপুর</v>
      </c>
    </row>
    <row r="89">
      <c r="A89" s="6" t="s">
        <v>2174</v>
      </c>
      <c r="B89" s="1">
        <f>IFERROR(__xludf.DUMMYFUNCTION("SPLIT(A89,"","")"),90.0)</f>
        <v>90</v>
      </c>
      <c r="C89" s="1" t="str">
        <f>IFERROR(__xludf.DUMMYFUNCTION("""COMPUTED_VALUE"""),"মোঃ ওসমান আলী")</f>
        <v>মোঃ ওসমান আলী</v>
      </c>
      <c r="D89" s="1">
        <f>IFERROR(__xludf.DUMMYFUNCTION("""COMPUTED_VALUE"""),5.7005437425E11)</f>
        <v>570054374250</v>
      </c>
      <c r="E89" s="1" t="str">
        <f>IFERROR(__xludf.DUMMYFUNCTION("""COMPUTED_VALUE"""),"দিদার বিশ্বাস")</f>
        <v>দিদার বিশ্বাস</v>
      </c>
      <c r="F89" s="1" t="str">
        <f>IFERROR(__xludf.DUMMYFUNCTION("""COMPUTED_VALUE"""),"মোছাঃ নছিমন নেছা")</f>
        <v>মোছাঃ নছিমন নেছা</v>
      </c>
      <c r="G89" s="1" t="str">
        <f>IFERROR(__xludf.DUMMYFUNCTION("""COMPUTED_VALUE"""),"২৫/০৭/১৯৭২")</f>
        <v>২৫/০৭/১৯৭২</v>
      </c>
      <c r="H89" s="1" t="str">
        <f>IFERROR(__xludf.DUMMYFUNCTION("""COMPUTED_VALUE"""),"কৃষক")</f>
        <v>কৃষক</v>
      </c>
      <c r="I89" s="1" t="str">
        <f>IFERROR(__xludf.DUMMYFUNCTION("""COMPUTED_VALUE"""),"মহিষাখোলা")</f>
        <v>মহিষাখোলা</v>
      </c>
      <c r="J89" s="1" t="str">
        <f>IFERROR(__xludf.DUMMYFUNCTION("""COMPUTED_VALUE""")," গাংনী")</f>
        <v> গাংনী</v>
      </c>
      <c r="K89" s="1" t="str">
        <f>IFERROR(__xludf.DUMMYFUNCTION("""COMPUTED_VALUE""")," মেহেরপুর")</f>
        <v> মেহেরপুর</v>
      </c>
    </row>
    <row r="90">
      <c r="A90" s="6" t="s">
        <v>2175</v>
      </c>
      <c r="B90" s="1">
        <f>IFERROR(__xludf.DUMMYFUNCTION("SPLIT(A90,"","")"),91.0)</f>
        <v>91</v>
      </c>
      <c r="C90" s="1" t="str">
        <f>IFERROR(__xludf.DUMMYFUNCTION("""COMPUTED_VALUE"""),"মোঃ ওমর আলী")</f>
        <v>মোঃ ওমর আলী</v>
      </c>
      <c r="D90" s="1">
        <f>IFERROR(__xludf.DUMMYFUNCTION("""COMPUTED_VALUE"""),5.70054374251E11)</f>
        <v>570054374251</v>
      </c>
      <c r="E90" s="1" t="str">
        <f>IFERROR(__xludf.DUMMYFUNCTION("""COMPUTED_VALUE"""),"দিদার বিশ্বাস")</f>
        <v>দিদার বিশ্বাস</v>
      </c>
      <c r="F90" s="1" t="str">
        <f>IFERROR(__xludf.DUMMYFUNCTION("""COMPUTED_VALUE"""),"মোছাঃ নছিমন নেছা")</f>
        <v>মোছাঃ নছিমন নেছা</v>
      </c>
      <c r="G90" s="1" t="str">
        <f>IFERROR(__xludf.DUMMYFUNCTION("""COMPUTED_VALUE"""),"১৫/০৩/১৯৭৭")</f>
        <v>১৫/০৩/১৯৭৭</v>
      </c>
      <c r="H90" s="1" t="str">
        <f>IFERROR(__xludf.DUMMYFUNCTION("""COMPUTED_VALUE"""),"কৃষক")</f>
        <v>কৃষক</v>
      </c>
      <c r="I90" s="1" t="str">
        <f>IFERROR(__xludf.DUMMYFUNCTION("""COMPUTED_VALUE"""),"মহিষাখোলা")</f>
        <v>মহিষাখোলা</v>
      </c>
      <c r="J90" s="1" t="str">
        <f>IFERROR(__xludf.DUMMYFUNCTION("""COMPUTED_VALUE""")," গাংনী")</f>
        <v> গাংনী</v>
      </c>
      <c r="K90" s="1" t="str">
        <f>IFERROR(__xludf.DUMMYFUNCTION("""COMPUTED_VALUE""")," মেহেরপুর")</f>
        <v> মেহেরপুর</v>
      </c>
    </row>
    <row r="91">
      <c r="A91" s="6" t="s">
        <v>2176</v>
      </c>
      <c r="B91" s="1">
        <f>IFERROR(__xludf.DUMMYFUNCTION("SPLIT(A91,"","")"),92.0)</f>
        <v>92</v>
      </c>
      <c r="C91" s="1" t="str">
        <f>IFERROR(__xludf.DUMMYFUNCTION("""COMPUTED_VALUE"""),"মোঃ হাসান আলী")</f>
        <v>মোঃ হাসান আলী</v>
      </c>
      <c r="D91" s="1">
        <f>IFERROR(__xludf.DUMMYFUNCTION("""COMPUTED_VALUE"""),5.70054374252E11)</f>
        <v>570054374252</v>
      </c>
      <c r="E91" s="1" t="str">
        <f>IFERROR(__xludf.DUMMYFUNCTION("""COMPUTED_VALUE"""),"নিয়াকত আলী")</f>
        <v>নিয়াকত আলী</v>
      </c>
      <c r="F91" s="1" t="str">
        <f>IFERROR(__xludf.DUMMYFUNCTION("""COMPUTED_VALUE"""),"মোছাঃ ছামিরন নেছা")</f>
        <v>মোছাঃ ছামিরন নেছা</v>
      </c>
      <c r="G91" s="1" t="str">
        <f>IFERROR(__xludf.DUMMYFUNCTION("""COMPUTED_VALUE"""),"০৯/১১/১৯৮২")</f>
        <v>০৯/১১/১৯৮২</v>
      </c>
      <c r="H91" s="1" t="str">
        <f>IFERROR(__xludf.DUMMYFUNCTION("""COMPUTED_VALUE"""),"কৃষক")</f>
        <v>কৃষক</v>
      </c>
      <c r="I91" s="1" t="str">
        <f>IFERROR(__xludf.DUMMYFUNCTION("""COMPUTED_VALUE"""),"মহিষাখোলা")</f>
        <v>মহিষাখোলা</v>
      </c>
      <c r="J91" s="1" t="str">
        <f>IFERROR(__xludf.DUMMYFUNCTION("""COMPUTED_VALUE""")," গাংনী")</f>
        <v> গাংনী</v>
      </c>
      <c r="K91" s="1" t="str">
        <f>IFERROR(__xludf.DUMMYFUNCTION("""COMPUTED_VALUE""")," মেহেরপুর")</f>
        <v> মেহেরপুর</v>
      </c>
    </row>
    <row r="92">
      <c r="A92" s="6" t="s">
        <v>2177</v>
      </c>
      <c r="B92" s="1">
        <f>IFERROR(__xludf.DUMMYFUNCTION("SPLIT(A92,"","")"),93.0)</f>
        <v>93</v>
      </c>
      <c r="C92" s="1" t="str">
        <f>IFERROR(__xludf.DUMMYFUNCTION("""COMPUTED_VALUE"""),"মোঃ আব্দুর রাজ্জাক")</f>
        <v>মোঃ আব্দুর রাজ্জাক</v>
      </c>
      <c r="D92" s="1">
        <f>IFERROR(__xludf.DUMMYFUNCTION("""COMPUTED_VALUE"""),5.70054374253E11)</f>
        <v>570054374253</v>
      </c>
      <c r="E92" s="1" t="str">
        <f>IFERROR(__xludf.DUMMYFUNCTION("""COMPUTED_VALUE"""),"মোঃ ইউসুফ আলী")</f>
        <v>মোঃ ইউসুফ আলী</v>
      </c>
      <c r="F92" s="1" t="str">
        <f>IFERROR(__xludf.DUMMYFUNCTION("""COMPUTED_VALUE"""),"মোছাঃ হাওয়া খাতুন")</f>
        <v>মোছাঃ হাওয়া খাতুন</v>
      </c>
      <c r="G92" s="1" t="str">
        <f>IFERROR(__xludf.DUMMYFUNCTION("""COMPUTED_VALUE"""),"১৬/০৪/১৯৬৫")</f>
        <v>১৬/০৪/১৯৬৫</v>
      </c>
      <c r="H92" s="1" t="str">
        <f>IFERROR(__xludf.DUMMYFUNCTION("""COMPUTED_VALUE"""),"শ্রমিক")</f>
        <v>শ্রমিক</v>
      </c>
      <c r="I92" s="1" t="str">
        <f>IFERROR(__xludf.DUMMYFUNCTION("""COMPUTED_VALUE"""),"মহিষাখোলা")</f>
        <v>মহিষাখোলা</v>
      </c>
      <c r="J92" s="1" t="str">
        <f>IFERROR(__xludf.DUMMYFUNCTION("""COMPUTED_VALUE""")," গাংনী")</f>
        <v> গাংনী</v>
      </c>
      <c r="K92" s="1" t="str">
        <f>IFERROR(__xludf.DUMMYFUNCTION("""COMPUTED_VALUE""")," মেহেরপুর")</f>
        <v> মেহেরপুর</v>
      </c>
    </row>
    <row r="93">
      <c r="A93" s="6" t="s">
        <v>2178</v>
      </c>
      <c r="B93" s="1">
        <f>IFERROR(__xludf.DUMMYFUNCTION("SPLIT(A93,"","")"),94.0)</f>
        <v>94</v>
      </c>
      <c r="C93" s="1" t="str">
        <f>IFERROR(__xludf.DUMMYFUNCTION("""COMPUTED_VALUE"""),"মোঃ তৈয়ব আলী")</f>
        <v>মোঃ তৈয়ব আলী</v>
      </c>
      <c r="D93" s="1">
        <f>IFERROR(__xludf.DUMMYFUNCTION("""COMPUTED_VALUE"""),5.70054374254E11)</f>
        <v>570054374254</v>
      </c>
      <c r="E93" s="1" t="str">
        <f>IFERROR(__xludf.DUMMYFUNCTION("""COMPUTED_VALUE"""),"মোহাঃ আরজান আলী")</f>
        <v>মোহাঃ আরজান আলী</v>
      </c>
      <c r="F93" s="1" t="str">
        <f>IFERROR(__xludf.DUMMYFUNCTION("""COMPUTED_VALUE"""),"মোছাঃ খাইরন নেছা")</f>
        <v>মোছাঃ খাইরন নেছা</v>
      </c>
      <c r="G93" s="1" t="str">
        <f>IFERROR(__xludf.DUMMYFUNCTION("""COMPUTED_VALUE"""),"০৩/০৪/১৯৮০")</f>
        <v>০৩/০৪/১৯৮০</v>
      </c>
      <c r="H93" s="1" t="str">
        <f>IFERROR(__xludf.DUMMYFUNCTION("""COMPUTED_VALUE"""),"কৃষক")</f>
        <v>কৃষক</v>
      </c>
      <c r="I93" s="1" t="str">
        <f>IFERROR(__xludf.DUMMYFUNCTION("""COMPUTED_VALUE"""),"মহিষাখোলা")</f>
        <v>মহিষাখোলা</v>
      </c>
      <c r="J93" s="1" t="str">
        <f>IFERROR(__xludf.DUMMYFUNCTION("""COMPUTED_VALUE""")," গাংনী")</f>
        <v> গাংনী</v>
      </c>
      <c r="K93" s="1" t="str">
        <f>IFERROR(__xludf.DUMMYFUNCTION("""COMPUTED_VALUE""")," মেহেরপুর")</f>
        <v> মেহেরপুর</v>
      </c>
    </row>
    <row r="94">
      <c r="A94" s="6" t="s">
        <v>2179</v>
      </c>
      <c r="B94" s="1">
        <f>IFERROR(__xludf.DUMMYFUNCTION("SPLIT(A94,"","")"),95.0)</f>
        <v>95</v>
      </c>
      <c r="C94" s="1" t="str">
        <f>IFERROR(__xludf.DUMMYFUNCTION("""COMPUTED_VALUE"""),"মোঃ আরজান আলী")</f>
        <v>মোঃ আরজান আলী</v>
      </c>
      <c r="D94" s="1">
        <f>IFERROR(__xludf.DUMMYFUNCTION("""COMPUTED_VALUE"""),5.70054374255E11)</f>
        <v>570054374255</v>
      </c>
      <c r="E94" s="1" t="str">
        <f>IFERROR(__xludf.DUMMYFUNCTION("""COMPUTED_VALUE"""),"হায়াত আলী")</f>
        <v>হায়াত আলী</v>
      </c>
      <c r="F94" s="1" t="str">
        <f>IFERROR(__xludf.DUMMYFUNCTION("""COMPUTED_VALUE"""),"মোছাঃ নিমালা খাতুন")</f>
        <v>মোছাঃ নিমালা খাতুন</v>
      </c>
      <c r="G94" s="1" t="str">
        <f>IFERROR(__xludf.DUMMYFUNCTION("""COMPUTED_VALUE"""),"২০/০৭/১৯৪৭")</f>
        <v>২০/০৭/১৯৪৭</v>
      </c>
      <c r="H94" s="1" t="str">
        <f>IFERROR(__xludf.DUMMYFUNCTION("""COMPUTED_VALUE"""),"কৃষক")</f>
        <v>কৃষক</v>
      </c>
      <c r="I94" s="1" t="str">
        <f>IFERROR(__xludf.DUMMYFUNCTION("""COMPUTED_VALUE"""),"মহিষাখোলা")</f>
        <v>মহিষাখোলা</v>
      </c>
      <c r="J94" s="1" t="str">
        <f>IFERROR(__xludf.DUMMYFUNCTION("""COMPUTED_VALUE""")," গাংনী")</f>
        <v> গাংনী</v>
      </c>
      <c r="K94" s="1" t="str">
        <f>IFERROR(__xludf.DUMMYFUNCTION("""COMPUTED_VALUE""")," মেহেরপুর")</f>
        <v> মেহেরপুর</v>
      </c>
    </row>
    <row r="95">
      <c r="A95" s="6" t="s">
        <v>2180</v>
      </c>
      <c r="B95" s="1">
        <f>IFERROR(__xludf.DUMMYFUNCTION("SPLIT(A95,"","")"),96.0)</f>
        <v>96</v>
      </c>
      <c r="C95" s="1" t="str">
        <f>IFERROR(__xludf.DUMMYFUNCTION("""COMPUTED_VALUE"""),"মোঃ বকতিয়ার রহমান")</f>
        <v>মোঃ বকতিয়ার রহমান</v>
      </c>
      <c r="D95" s="1">
        <f>IFERROR(__xludf.DUMMYFUNCTION("""COMPUTED_VALUE"""),5.70054374256E11)</f>
        <v>570054374256</v>
      </c>
      <c r="E95" s="1" t="str">
        <f>IFERROR(__xludf.DUMMYFUNCTION("""COMPUTED_VALUE"""),"মোঃ আরজান আলী")</f>
        <v>মোঃ আরজান আলী</v>
      </c>
      <c r="F95" s="1" t="str">
        <f>IFERROR(__xludf.DUMMYFUNCTION("""COMPUTED_VALUE"""),"মোছাঃ খাইরন নেছা")</f>
        <v>মোছাঃ খাইরন নেছা</v>
      </c>
      <c r="G95" s="1" t="str">
        <f>IFERROR(__xludf.DUMMYFUNCTION("""COMPUTED_VALUE"""),"১৪/০২/১৯৮৩")</f>
        <v>১৪/০২/১৯৮৩</v>
      </c>
      <c r="H95" s="1" t="str">
        <f>IFERROR(__xludf.DUMMYFUNCTION("""COMPUTED_VALUE"""),"কৃষক")</f>
        <v>কৃষক</v>
      </c>
      <c r="I95" s="1" t="str">
        <f>IFERROR(__xludf.DUMMYFUNCTION("""COMPUTED_VALUE"""),"মহিষাখোলা")</f>
        <v>মহিষাখোলা</v>
      </c>
      <c r="J95" s="1" t="str">
        <f>IFERROR(__xludf.DUMMYFUNCTION("""COMPUTED_VALUE""")," গাংনী")</f>
        <v> গাংনী</v>
      </c>
      <c r="K95" s="1" t="str">
        <f>IFERROR(__xludf.DUMMYFUNCTION("""COMPUTED_VALUE""")," মেহেরপুর")</f>
        <v> মেহেরপুর</v>
      </c>
    </row>
    <row r="96">
      <c r="A96" s="6" t="s">
        <v>2181</v>
      </c>
      <c r="B96" s="1">
        <f>IFERROR(__xludf.DUMMYFUNCTION("SPLIT(A96,"","")"),97.0)</f>
        <v>97</v>
      </c>
      <c r="C96" s="1" t="str">
        <f>IFERROR(__xludf.DUMMYFUNCTION("""COMPUTED_VALUE"""),"মোঃ রেজাউল হক")</f>
        <v>মোঃ রেজাউল হক</v>
      </c>
      <c r="D96" s="1">
        <f>IFERROR(__xludf.DUMMYFUNCTION("""COMPUTED_VALUE"""),5.70054374262E11)</f>
        <v>570054374262</v>
      </c>
      <c r="E96" s="1" t="str">
        <f>IFERROR(__xludf.DUMMYFUNCTION("""COMPUTED_VALUE"""),"মোঃ আজাদ বকস")</f>
        <v>মোঃ আজাদ বকস</v>
      </c>
      <c r="F96" s="1" t="str">
        <f>IFERROR(__xludf.DUMMYFUNCTION("""COMPUTED_VALUE"""),"মোছাঃ হাওয়া খাতুন")</f>
        <v>মোছাঃ হাওয়া খাতুন</v>
      </c>
      <c r="G96" s="1" t="str">
        <f>IFERROR(__xludf.DUMMYFUNCTION("""COMPUTED_VALUE"""),"৩১/১২/১৯৬৯")</f>
        <v>৩১/১২/১৯৬৯</v>
      </c>
      <c r="H96" s="1" t="str">
        <f>IFERROR(__xludf.DUMMYFUNCTION("""COMPUTED_VALUE"""),"কৃষক")</f>
        <v>কৃষক</v>
      </c>
      <c r="I96" s="1" t="str">
        <f>IFERROR(__xludf.DUMMYFUNCTION("""COMPUTED_VALUE"""),"মহিষাখোলা")</f>
        <v>মহিষাখোলা</v>
      </c>
      <c r="J96" s="1" t="str">
        <f>IFERROR(__xludf.DUMMYFUNCTION("""COMPUTED_VALUE""")," গাংনী")</f>
        <v> গাংনী</v>
      </c>
      <c r="K96" s="1" t="str">
        <f>IFERROR(__xludf.DUMMYFUNCTION("""COMPUTED_VALUE""")," মেহেরপুর")</f>
        <v> মেহেরপুর</v>
      </c>
    </row>
    <row r="97">
      <c r="A97" s="6" t="s">
        <v>2182</v>
      </c>
      <c r="B97" s="1">
        <f>IFERROR(__xludf.DUMMYFUNCTION("SPLIT(A97,"","")"),98.0)</f>
        <v>98</v>
      </c>
      <c r="C97" s="1" t="str">
        <f>IFERROR(__xludf.DUMMYFUNCTION("""COMPUTED_VALUE"""),"মোঃ দোয়াত আলী")</f>
        <v>মোঃ দোয়াত আলী</v>
      </c>
      <c r="D97" s="1">
        <f>IFERROR(__xludf.DUMMYFUNCTION("""COMPUTED_VALUE"""),5.70054374268E11)</f>
        <v>570054374268</v>
      </c>
      <c r="E97" s="1" t="str">
        <f>IFERROR(__xludf.DUMMYFUNCTION("""COMPUTED_VALUE"""),"মোঃ ফকির মহাম্মদ")</f>
        <v>মোঃ ফকির মহাম্মদ</v>
      </c>
      <c r="F97" s="1" t="str">
        <f>IFERROR(__xludf.DUMMYFUNCTION("""COMPUTED_VALUE"""),"হালিমা খাতুন")</f>
        <v>হালিমা খাতুন</v>
      </c>
      <c r="G97" s="1" t="str">
        <f>IFERROR(__xludf.DUMMYFUNCTION("""COMPUTED_VALUE"""),"১২/১২/১৯৬০")</f>
        <v>১২/১২/১৯৬০</v>
      </c>
      <c r="H97" s="1" t="str">
        <f>IFERROR(__xludf.DUMMYFUNCTION("""COMPUTED_VALUE"""),"কৃষক")</f>
        <v>কৃষক</v>
      </c>
      <c r="I97" s="1" t="str">
        <f>IFERROR(__xludf.DUMMYFUNCTION("""COMPUTED_VALUE"""),"মহিষাখোলা")</f>
        <v>মহিষাখোলা</v>
      </c>
      <c r="J97" s="1" t="str">
        <f>IFERROR(__xludf.DUMMYFUNCTION("""COMPUTED_VALUE""")," গাংনী")</f>
        <v> গাংনী</v>
      </c>
      <c r="K97" s="1" t="str">
        <f>IFERROR(__xludf.DUMMYFUNCTION("""COMPUTED_VALUE""")," মেহেরপুর")</f>
        <v> মেহেরপুর</v>
      </c>
    </row>
    <row r="98">
      <c r="A98" s="6" t="s">
        <v>2183</v>
      </c>
      <c r="B98" s="1">
        <f>IFERROR(__xludf.DUMMYFUNCTION("SPLIT(A98,"","")"),99.0)</f>
        <v>99</v>
      </c>
      <c r="C98" s="1" t="str">
        <f>IFERROR(__xludf.DUMMYFUNCTION("""COMPUTED_VALUE"""),"মোঃ সাইফুল ইসলাম")</f>
        <v>মোঃ সাইফুল ইসলাম</v>
      </c>
      <c r="D98" s="1">
        <f>IFERROR(__xludf.DUMMYFUNCTION("""COMPUTED_VALUE"""),5.70054374269E11)</f>
        <v>570054374269</v>
      </c>
      <c r="E98" s="1" t="str">
        <f>IFERROR(__xludf.DUMMYFUNCTION("""COMPUTED_VALUE"""),"মোঃ আবুল কাশেম")</f>
        <v>মোঃ আবুল কাশেম</v>
      </c>
      <c r="F98" s="1" t="str">
        <f>IFERROR(__xludf.DUMMYFUNCTION("""COMPUTED_VALUE"""),"মোছাঃ নূরজাহান বেগম")</f>
        <v>মোছাঃ নূরজাহান বেগম</v>
      </c>
      <c r="G98" s="1" t="str">
        <f>IFERROR(__xludf.DUMMYFUNCTION("""COMPUTED_VALUE"""),"২১/১০/১৯৮৪")</f>
        <v>২১/১০/১৯৮৪</v>
      </c>
      <c r="H98" s="1" t="str">
        <f>IFERROR(__xludf.DUMMYFUNCTION("""COMPUTED_VALUE"""),"ছাত্র/ছাত্রী")</f>
        <v>ছাত্র/ছাত্রী</v>
      </c>
      <c r="I98" s="1" t="str">
        <f>IFERROR(__xludf.DUMMYFUNCTION("""COMPUTED_VALUE"""),"মহিষাখোলা")</f>
        <v>মহিষাখোলা</v>
      </c>
      <c r="J98" s="1" t="str">
        <f>IFERROR(__xludf.DUMMYFUNCTION("""COMPUTED_VALUE""")," গাংনী")</f>
        <v> গাংনী</v>
      </c>
      <c r="K98" s="1" t="str">
        <f>IFERROR(__xludf.DUMMYFUNCTION("""COMPUTED_VALUE""")," মেহেরপুর")</f>
        <v> মেহেরপুর</v>
      </c>
    </row>
    <row r="99">
      <c r="A99" s="6" t="s">
        <v>2184</v>
      </c>
      <c r="B99" s="1">
        <f>IFERROR(__xludf.DUMMYFUNCTION("SPLIT(A99,"","")"),100.0)</f>
        <v>100</v>
      </c>
      <c r="C99" s="1" t="str">
        <f>IFERROR(__xludf.DUMMYFUNCTION("""COMPUTED_VALUE"""),"মোঃ ইয়াসিন আলী")</f>
        <v>মোঃ ইয়াসিন আলী</v>
      </c>
      <c r="D99" s="1">
        <f>IFERROR(__xludf.DUMMYFUNCTION("""COMPUTED_VALUE"""),5.7005437427E11)</f>
        <v>570054374270</v>
      </c>
      <c r="E99" s="1" t="str">
        <f>IFERROR(__xludf.DUMMYFUNCTION("""COMPUTED_VALUE"""),"মোঃ আবুল কাশেম")</f>
        <v>মোঃ আবুল কাশেম</v>
      </c>
      <c r="F99" s="1" t="str">
        <f>IFERROR(__xludf.DUMMYFUNCTION("""COMPUTED_VALUE"""),"মোছাঃ নূরজাহান বেগম")</f>
        <v>মোছাঃ নূরজাহান বেগম</v>
      </c>
      <c r="G99" s="1" t="str">
        <f>IFERROR(__xludf.DUMMYFUNCTION("""COMPUTED_VALUE"""),"০৮/০৬/১৯৮২")</f>
        <v>০৮/০৬/১৯৮২</v>
      </c>
      <c r="H99" s="1" t="str">
        <f>IFERROR(__xludf.DUMMYFUNCTION("""COMPUTED_VALUE"""),"ব্যবসা")</f>
        <v>ব্যবসা</v>
      </c>
      <c r="I99" s="1" t="str">
        <f>IFERROR(__xludf.DUMMYFUNCTION("""COMPUTED_VALUE"""),"মহিষাখোলা")</f>
        <v>মহিষাখোলা</v>
      </c>
      <c r="J99" s="1" t="str">
        <f>IFERROR(__xludf.DUMMYFUNCTION("""COMPUTED_VALUE""")," গাংনী")</f>
        <v> গাংনী</v>
      </c>
      <c r="K99" s="1" t="str">
        <f>IFERROR(__xludf.DUMMYFUNCTION("""COMPUTED_VALUE""")," মেহেরপুর")</f>
        <v> মেহেরপুর</v>
      </c>
    </row>
    <row r="100">
      <c r="A100" s="6" t="s">
        <v>2185</v>
      </c>
      <c r="B100" s="1">
        <f>IFERROR(__xludf.DUMMYFUNCTION("SPLIT(A100,"","")"),101.0)</f>
        <v>101</v>
      </c>
      <c r="C100" s="1" t="str">
        <f>IFERROR(__xludf.DUMMYFUNCTION("""COMPUTED_VALUE"""),"মোঃ ছামসুল হক")</f>
        <v>মোঃ ছামসুল হক</v>
      </c>
      <c r="D100" s="1">
        <f>IFERROR(__xludf.DUMMYFUNCTION("""COMPUTED_VALUE"""),5.70054374271E11)</f>
        <v>570054374271</v>
      </c>
      <c r="E100" s="1" t="str">
        <f>IFERROR(__xludf.DUMMYFUNCTION("""COMPUTED_VALUE"""),"রহমতুল্লাহ")</f>
        <v>রহমতুল্লাহ</v>
      </c>
      <c r="F100" s="1" t="str">
        <f>IFERROR(__xludf.DUMMYFUNCTION("""COMPUTED_VALUE"""),"মোছাঃ গলেনূর খাতুন")</f>
        <v>মোছাঃ গলেনূর খাতুন</v>
      </c>
      <c r="G100" s="1" t="str">
        <f>IFERROR(__xludf.DUMMYFUNCTION("""COMPUTED_VALUE"""),"২৫/১২/১৯৬৭")</f>
        <v>২৫/১২/১৯৬৭</v>
      </c>
      <c r="H100" s="1" t="str">
        <f>IFERROR(__xludf.DUMMYFUNCTION("""COMPUTED_VALUE"""),"কৃষক")</f>
        <v>কৃষক</v>
      </c>
      <c r="I100" s="1" t="str">
        <f>IFERROR(__xludf.DUMMYFUNCTION("""COMPUTED_VALUE"""),"মহিষাখোলা")</f>
        <v>মহিষাখোলা</v>
      </c>
      <c r="J100" s="1" t="str">
        <f>IFERROR(__xludf.DUMMYFUNCTION("""COMPUTED_VALUE""")," গাংনী")</f>
        <v> গাংনী</v>
      </c>
      <c r="K100" s="1" t="str">
        <f>IFERROR(__xludf.DUMMYFUNCTION("""COMPUTED_VALUE""")," মেহেরপুর")</f>
        <v> মেহেরপুর</v>
      </c>
    </row>
    <row r="101">
      <c r="A101" s="6" t="s">
        <v>2186</v>
      </c>
      <c r="B101" s="1">
        <f>IFERROR(__xludf.DUMMYFUNCTION("SPLIT(A101,"","")"),102.0)</f>
        <v>102</v>
      </c>
      <c r="C101" s="1" t="str">
        <f>IFERROR(__xludf.DUMMYFUNCTION("""COMPUTED_VALUE"""),"মোঃ জবেদ আলী")</f>
        <v>মোঃ জবেদ আলী</v>
      </c>
      <c r="D101" s="1">
        <f>IFERROR(__xludf.DUMMYFUNCTION("""COMPUTED_VALUE"""),5.70054374272E11)</f>
        <v>570054374272</v>
      </c>
      <c r="E101" s="1" t="str">
        <f>IFERROR(__xludf.DUMMYFUNCTION("""COMPUTED_VALUE"""),"খেজমত আলী")</f>
        <v>খেজমত আলী</v>
      </c>
      <c r="F101" s="1" t="str">
        <f>IFERROR(__xludf.DUMMYFUNCTION("""COMPUTED_VALUE"""),"মোছাঃ পাঁচিরন নেছা")</f>
        <v>মোছাঃ পাঁচিরন নেছা</v>
      </c>
      <c r="G101" s="1" t="str">
        <f>IFERROR(__xludf.DUMMYFUNCTION("""COMPUTED_VALUE"""),"১২/০৩/১৯৬৭")</f>
        <v>১২/০৩/১৯৬৭</v>
      </c>
      <c r="H101" s="1" t="str">
        <f>IFERROR(__xludf.DUMMYFUNCTION("""COMPUTED_VALUE"""),"কৃষক")</f>
        <v>কৃষক</v>
      </c>
      <c r="I101" s="1" t="str">
        <f>IFERROR(__xludf.DUMMYFUNCTION("""COMPUTED_VALUE"""),"মহিষাখোলা")</f>
        <v>মহিষাখোলা</v>
      </c>
      <c r="J101" s="1" t="str">
        <f>IFERROR(__xludf.DUMMYFUNCTION("""COMPUTED_VALUE""")," গাংনী")</f>
        <v> গাংনী</v>
      </c>
      <c r="K101" s="1" t="str">
        <f>IFERROR(__xludf.DUMMYFUNCTION("""COMPUTED_VALUE""")," মেহেরপুর")</f>
        <v> মেহেরপুর</v>
      </c>
    </row>
    <row r="102">
      <c r="A102" s="6" t="s">
        <v>2187</v>
      </c>
      <c r="B102" s="1">
        <f>IFERROR(__xludf.DUMMYFUNCTION("SPLIT(A102,"","")"),103.0)</f>
        <v>103</v>
      </c>
      <c r="C102" s="1" t="str">
        <f>IFERROR(__xludf.DUMMYFUNCTION("""COMPUTED_VALUE"""),"মোঃ ফারুক হোসেন")</f>
        <v>মোঃ ফারুক হোসেন</v>
      </c>
      <c r="D102" s="1">
        <f>IFERROR(__xludf.DUMMYFUNCTION("""COMPUTED_VALUE"""),5.70054374276E11)</f>
        <v>570054374276</v>
      </c>
      <c r="E102" s="1" t="str">
        <f>IFERROR(__xludf.DUMMYFUNCTION("""COMPUTED_VALUE"""),"মোঃ রেজাউল হক")</f>
        <v>মোঃ রেজাউল হক</v>
      </c>
      <c r="F102" s="1" t="str">
        <f>IFERROR(__xludf.DUMMYFUNCTION("""COMPUTED_VALUE"""),"মোছাঃ আবেদা খাতুন")</f>
        <v>মোছাঃ আবেদা খাতুন</v>
      </c>
      <c r="G102" s="1" t="str">
        <f>IFERROR(__xludf.DUMMYFUNCTION("""COMPUTED_VALUE"""),"১৪/০৭/১৯৮৮")</f>
        <v>১৪/০৭/১৯৮৮</v>
      </c>
      <c r="H102" s="1" t="str">
        <f>IFERROR(__xludf.DUMMYFUNCTION("""COMPUTED_VALUE"""),"কৃষক")</f>
        <v>কৃষক</v>
      </c>
      <c r="I102" s="1" t="str">
        <f>IFERROR(__xludf.DUMMYFUNCTION("""COMPUTED_VALUE"""),"মহিষাখোলা")</f>
        <v>মহিষাখোলা</v>
      </c>
      <c r="J102" s="1" t="str">
        <f>IFERROR(__xludf.DUMMYFUNCTION("""COMPUTED_VALUE""")," গাংনী")</f>
        <v> গাংনী</v>
      </c>
      <c r="K102" s="1" t="str">
        <f>IFERROR(__xludf.DUMMYFUNCTION("""COMPUTED_VALUE""")," মেহেরপুর")</f>
        <v> মেহেরপুর</v>
      </c>
    </row>
    <row r="103">
      <c r="A103" s="6" t="s">
        <v>2188</v>
      </c>
      <c r="B103" s="1">
        <f>IFERROR(__xludf.DUMMYFUNCTION("SPLIT(A103,"","")"),104.0)</f>
        <v>104</v>
      </c>
      <c r="C103" s="1" t="str">
        <f>IFERROR(__xludf.DUMMYFUNCTION("""COMPUTED_VALUE"""),"মোঃ আনারুল ইসলাম")</f>
        <v>মোঃ আনারুল ইসলাম</v>
      </c>
      <c r="D103" s="1">
        <f>IFERROR(__xludf.DUMMYFUNCTION("""COMPUTED_VALUE"""),5.70054374277E11)</f>
        <v>570054374277</v>
      </c>
      <c r="E103" s="1" t="str">
        <f>IFERROR(__xludf.DUMMYFUNCTION("""COMPUTED_VALUE"""),"মোঃ আকছার মন্ডল")</f>
        <v>মোঃ আকছার মন্ডল</v>
      </c>
      <c r="F103" s="1" t="str">
        <f>IFERROR(__xludf.DUMMYFUNCTION("""COMPUTED_VALUE"""),"আনোয়ারা খাতুন")</f>
        <v>আনোয়ারা খাতুন</v>
      </c>
      <c r="G103" s="1" t="str">
        <f>IFERROR(__xludf.DUMMYFUNCTION("""COMPUTED_VALUE"""),"০৭/০৪/১৯৬৭")</f>
        <v>০৭/০৪/১৯৬৭</v>
      </c>
      <c r="H103" s="1" t="str">
        <f>IFERROR(__xludf.DUMMYFUNCTION("""COMPUTED_VALUE"""),"শ্রমিক")</f>
        <v>শ্রমিক</v>
      </c>
      <c r="I103" s="1" t="str">
        <f>IFERROR(__xludf.DUMMYFUNCTION("""COMPUTED_VALUE"""),"মহিষাখোলা")</f>
        <v>মহিষাখোলা</v>
      </c>
      <c r="J103" s="1" t="str">
        <f>IFERROR(__xludf.DUMMYFUNCTION("""COMPUTED_VALUE""")," গাংনী")</f>
        <v> গাংনী</v>
      </c>
      <c r="K103" s="1" t="str">
        <f>IFERROR(__xludf.DUMMYFUNCTION("""COMPUTED_VALUE""")," মেহেরপুর")</f>
        <v> মেহেরপুর</v>
      </c>
    </row>
    <row r="104">
      <c r="A104" s="6" t="s">
        <v>2189</v>
      </c>
      <c r="B104" s="1">
        <f>IFERROR(__xludf.DUMMYFUNCTION("SPLIT(A104,"","")"),105.0)</f>
        <v>105</v>
      </c>
      <c r="C104" s="1" t="str">
        <f>IFERROR(__xludf.DUMMYFUNCTION("""COMPUTED_VALUE"""),"মোঃ রফিকুল ইসলাম")</f>
        <v>মোঃ রফিকুল ইসলাম</v>
      </c>
      <c r="D104" s="1">
        <f>IFERROR(__xludf.DUMMYFUNCTION("""COMPUTED_VALUE"""),5.70054374279E11)</f>
        <v>570054374279</v>
      </c>
      <c r="E104" s="1" t="str">
        <f>IFERROR(__xludf.DUMMYFUNCTION("""COMPUTED_VALUE"""),"মোঃ আজাদ বকস মন্ডল")</f>
        <v>মোঃ আজাদ বকস মন্ডল</v>
      </c>
      <c r="F104" s="1" t="str">
        <f>IFERROR(__xludf.DUMMYFUNCTION("""COMPUTED_VALUE"""),"মোছাঃ হাওয়া খাতুন")</f>
        <v>মোছাঃ হাওয়া খাতুন</v>
      </c>
      <c r="G104" s="1" t="str">
        <f>IFERROR(__xludf.DUMMYFUNCTION("""COMPUTED_VALUE"""),"২৬/০৯/১৯৬২")</f>
        <v>২৬/০৯/১৯৬২</v>
      </c>
      <c r="H104" s="1" t="str">
        <f>IFERROR(__xludf.DUMMYFUNCTION("""COMPUTED_VALUE"""),"কৃষক")</f>
        <v>কৃষক</v>
      </c>
      <c r="I104" s="1" t="str">
        <f>IFERROR(__xludf.DUMMYFUNCTION("""COMPUTED_VALUE"""),"মহিষাখোলা")</f>
        <v>মহিষাখোলা</v>
      </c>
      <c r="J104" s="1" t="str">
        <f>IFERROR(__xludf.DUMMYFUNCTION("""COMPUTED_VALUE""")," গাংনী")</f>
        <v> গাংনী</v>
      </c>
      <c r="K104" s="1" t="str">
        <f>IFERROR(__xludf.DUMMYFUNCTION("""COMPUTED_VALUE""")," মেহেরপুর")</f>
        <v> মেহেরপুর</v>
      </c>
    </row>
    <row r="105">
      <c r="A105" s="6" t="s">
        <v>2190</v>
      </c>
      <c r="B105" s="1">
        <f>IFERROR(__xludf.DUMMYFUNCTION("SPLIT(A105,"","")"),106.0)</f>
        <v>106</v>
      </c>
      <c r="C105" s="1" t="str">
        <f>IFERROR(__xludf.DUMMYFUNCTION("""COMPUTED_VALUE"""),"মোঃ রমজান আলী")</f>
        <v>মোঃ রমজান আলী</v>
      </c>
      <c r="D105" s="1">
        <f>IFERROR(__xludf.DUMMYFUNCTION("""COMPUTED_VALUE"""),5.7005437428E11)</f>
        <v>570054374280</v>
      </c>
      <c r="E105" s="1" t="str">
        <f>IFERROR(__xludf.DUMMYFUNCTION("""COMPUTED_VALUE"""),"মোঃ আজাদ বকস মন্ডল")</f>
        <v>মোঃ আজাদ বকস মন্ডল</v>
      </c>
      <c r="F105" s="1" t="str">
        <f>IFERROR(__xludf.DUMMYFUNCTION("""COMPUTED_VALUE"""),"মোছাঃ হাওয়া খাতুন")</f>
        <v>মোছাঃ হাওয়া খাতুন</v>
      </c>
      <c r="G105" s="1" t="str">
        <f>IFERROR(__xludf.DUMMYFUNCTION("""COMPUTED_VALUE"""),"০৫/০৯/১৯৮০")</f>
        <v>০৫/০৯/১৯৮০</v>
      </c>
      <c r="H105" s="1" t="str">
        <f>IFERROR(__xludf.DUMMYFUNCTION("""COMPUTED_VALUE"""),"কৃষক")</f>
        <v>কৃষক</v>
      </c>
      <c r="I105" s="1" t="str">
        <f>IFERROR(__xludf.DUMMYFUNCTION("""COMPUTED_VALUE"""),"মহিষাখোলা")</f>
        <v>মহিষাখোলা</v>
      </c>
      <c r="J105" s="1" t="str">
        <f>IFERROR(__xludf.DUMMYFUNCTION("""COMPUTED_VALUE""")," গাংনী")</f>
        <v> গাংনী</v>
      </c>
      <c r="K105" s="1" t="str">
        <f>IFERROR(__xludf.DUMMYFUNCTION("""COMPUTED_VALUE""")," মেহেরপুর")</f>
        <v> মেহেরপুর</v>
      </c>
    </row>
    <row r="106">
      <c r="A106" s="6" t="s">
        <v>2191</v>
      </c>
      <c r="B106" s="1">
        <f>IFERROR(__xludf.DUMMYFUNCTION("SPLIT(A106,"","")"),107.0)</f>
        <v>107</v>
      </c>
      <c r="C106" s="1" t="str">
        <f>IFERROR(__xludf.DUMMYFUNCTION("""COMPUTED_VALUE"""),"মোঃ হাফিজুল ইসলাম")</f>
        <v>মোঃ হাফিজুল ইসলাম</v>
      </c>
      <c r="D106" s="1">
        <f>IFERROR(__xludf.DUMMYFUNCTION("""COMPUTED_VALUE"""),5.70054374283E11)</f>
        <v>570054374283</v>
      </c>
      <c r="E106" s="1" t="str">
        <f>IFERROR(__xludf.DUMMYFUNCTION("""COMPUTED_VALUE"""),"মোঃ আকবার আলী")</f>
        <v>মোঃ আকবার আলী</v>
      </c>
      <c r="F106" s="1" t="str">
        <f>IFERROR(__xludf.DUMMYFUNCTION("""COMPUTED_VALUE"""),"মোছাঃ খালেদা খাতুন")</f>
        <v>মোছাঃ খালেদা খাতুন</v>
      </c>
      <c r="G106" s="1" t="str">
        <f>IFERROR(__xludf.DUMMYFUNCTION("""COMPUTED_VALUE"""),"১০/০৪/১৯৮৬")</f>
        <v>১০/০৪/১৯৮৬</v>
      </c>
      <c r="H106" s="1" t="str">
        <f>IFERROR(__xludf.DUMMYFUNCTION("""COMPUTED_VALUE"""),"কৃষক")</f>
        <v>কৃষক</v>
      </c>
      <c r="I106" s="1" t="str">
        <f>IFERROR(__xludf.DUMMYFUNCTION("""COMPUTED_VALUE"""),"মহিষাখোলা")</f>
        <v>মহিষাখোলা</v>
      </c>
      <c r="J106" s="1" t="str">
        <f>IFERROR(__xludf.DUMMYFUNCTION("""COMPUTED_VALUE""")," গাংনী")</f>
        <v> গাংনী</v>
      </c>
      <c r="K106" s="1" t="str">
        <f>IFERROR(__xludf.DUMMYFUNCTION("""COMPUTED_VALUE""")," মেহেরপুর")</f>
        <v> মেহেরপুর</v>
      </c>
    </row>
    <row r="107">
      <c r="A107" s="6" t="s">
        <v>2192</v>
      </c>
      <c r="B107" s="1">
        <f>IFERROR(__xludf.DUMMYFUNCTION("SPLIT(A107,"","")"),108.0)</f>
        <v>108</v>
      </c>
      <c r="C107" s="1" t="str">
        <f>IFERROR(__xludf.DUMMYFUNCTION("""COMPUTED_VALUE"""),"মোঃ সমসের আলী")</f>
        <v>মোঃ সমসের আলী</v>
      </c>
      <c r="D107" s="1">
        <f>IFERROR(__xludf.DUMMYFUNCTION("""COMPUTED_VALUE"""),5.70054374285E11)</f>
        <v>570054374285</v>
      </c>
      <c r="E107" s="1" t="str">
        <f>IFERROR(__xludf.DUMMYFUNCTION("""COMPUTED_VALUE"""),"মোঃ গোলাম রসুল")</f>
        <v>মোঃ গোলাম রসুল</v>
      </c>
      <c r="F107" s="1" t="str">
        <f>IFERROR(__xludf.DUMMYFUNCTION("""COMPUTED_VALUE"""),"মোছাঃ সৃজন বিবি")</f>
        <v>মোছাঃ সৃজন বিবি</v>
      </c>
      <c r="G107" s="1" t="str">
        <f>IFERROR(__xludf.DUMMYFUNCTION("""COMPUTED_VALUE"""),"০৬/১০/১৯৬৬")</f>
        <v>০৬/১০/১৯৬৬</v>
      </c>
      <c r="H107" s="1" t="str">
        <f>IFERROR(__xludf.DUMMYFUNCTION("""COMPUTED_VALUE"""),"ব্যবসা")</f>
        <v>ব্যবসা</v>
      </c>
      <c r="I107" s="1" t="str">
        <f>IFERROR(__xludf.DUMMYFUNCTION("""COMPUTED_VALUE"""),"মহিষাখোলা")</f>
        <v>মহিষাখোলা</v>
      </c>
      <c r="J107" s="1" t="str">
        <f>IFERROR(__xludf.DUMMYFUNCTION("""COMPUTED_VALUE""")," গাংনী")</f>
        <v> গাংনী</v>
      </c>
      <c r="K107" s="1" t="str">
        <f>IFERROR(__xludf.DUMMYFUNCTION("""COMPUTED_VALUE""")," মেহেরপুর")</f>
        <v> মেহেরপুর</v>
      </c>
    </row>
    <row r="108">
      <c r="A108" s="6" t="s">
        <v>2193</v>
      </c>
      <c r="B108" s="1">
        <f>IFERROR(__xludf.DUMMYFUNCTION("SPLIT(A108,"","")"),109.0)</f>
        <v>109</v>
      </c>
      <c r="C108" s="1" t="str">
        <f>IFERROR(__xludf.DUMMYFUNCTION("""COMPUTED_VALUE"""),"মোঃ আঃ কুদ্দুস")</f>
        <v>মোঃ আঃ কুদ্দুস</v>
      </c>
      <c r="D108" s="1">
        <f>IFERROR(__xludf.DUMMYFUNCTION("""COMPUTED_VALUE"""),5.70054374288E11)</f>
        <v>570054374288</v>
      </c>
      <c r="E108" s="1" t="str">
        <f>IFERROR(__xludf.DUMMYFUNCTION("""COMPUTED_VALUE"""),"মওলা বকস")</f>
        <v>মওলা বকস</v>
      </c>
      <c r="F108" s="1" t="str">
        <f>IFERROR(__xludf.DUMMYFUNCTION("""COMPUTED_VALUE"""),"রেকমান নেছা")</f>
        <v>রেকমান নেছা</v>
      </c>
      <c r="G108" s="1" t="str">
        <f>IFERROR(__xludf.DUMMYFUNCTION("""COMPUTED_VALUE"""),"০৪/০৭/১৯৬০")</f>
        <v>০৪/০৭/১৯৬০</v>
      </c>
      <c r="H108" s="1" t="str">
        <f>IFERROR(__xludf.DUMMYFUNCTION("""COMPUTED_VALUE"""),"কৃষক")</f>
        <v>কৃষক</v>
      </c>
      <c r="I108" s="1" t="str">
        <f>IFERROR(__xludf.DUMMYFUNCTION("""COMPUTED_VALUE"""),"মহিষাখোলা")</f>
        <v>মহিষাখোলা</v>
      </c>
      <c r="J108" s="1" t="str">
        <f>IFERROR(__xludf.DUMMYFUNCTION("""COMPUTED_VALUE""")," গাংনী")</f>
        <v> গাংনী</v>
      </c>
      <c r="K108" s="1" t="str">
        <f>IFERROR(__xludf.DUMMYFUNCTION("""COMPUTED_VALUE""")," মেহেরপুর")</f>
        <v> মেহেরপুর</v>
      </c>
    </row>
    <row r="109">
      <c r="A109" s="6" t="s">
        <v>2194</v>
      </c>
      <c r="B109" s="1">
        <f>IFERROR(__xludf.DUMMYFUNCTION("SPLIT(A109,"","")"),110.0)</f>
        <v>110</v>
      </c>
      <c r="C109" s="1" t="str">
        <f>IFERROR(__xludf.DUMMYFUNCTION("""COMPUTED_VALUE"""),"মোঃ কদর আলী")</f>
        <v>মোঃ কদর আলী</v>
      </c>
      <c r="D109" s="1">
        <f>IFERROR(__xludf.DUMMYFUNCTION("""COMPUTED_VALUE"""),5.70054374291E11)</f>
        <v>570054374291</v>
      </c>
      <c r="E109" s="1" t="str">
        <f>IFERROR(__xludf.DUMMYFUNCTION("""COMPUTED_VALUE"""),"মোঃ আবেদ আলী")</f>
        <v>মোঃ আবেদ আলী</v>
      </c>
      <c r="F109" s="1" t="str">
        <f>IFERROR(__xludf.DUMMYFUNCTION("""COMPUTED_VALUE"""),"মোছাঃ বেদানা খাতুন")</f>
        <v>মোছাঃ বেদানা খাতুন</v>
      </c>
      <c r="G109" s="1" t="str">
        <f>IFERROR(__xludf.DUMMYFUNCTION("""COMPUTED_VALUE"""),"০৫/০৯/১৯৮৪")</f>
        <v>০৫/০৯/১৯৮৪</v>
      </c>
      <c r="H109" s="1" t="str">
        <f>IFERROR(__xludf.DUMMYFUNCTION("""COMPUTED_VALUE"""),"শ্রমিক")</f>
        <v>শ্রমিক</v>
      </c>
      <c r="I109" s="1" t="str">
        <f>IFERROR(__xludf.DUMMYFUNCTION("""COMPUTED_VALUE"""),"মহিষাখোলা")</f>
        <v>মহিষাখোলা</v>
      </c>
      <c r="J109" s="1" t="str">
        <f>IFERROR(__xludf.DUMMYFUNCTION("""COMPUTED_VALUE""")," গাংনী")</f>
        <v> গাংনী</v>
      </c>
      <c r="K109" s="1" t="str">
        <f>IFERROR(__xludf.DUMMYFUNCTION("""COMPUTED_VALUE""")," মেহেরপুর")</f>
        <v> মেহেরপুর</v>
      </c>
    </row>
    <row r="110">
      <c r="A110" s="6" t="s">
        <v>2195</v>
      </c>
      <c r="B110" s="1">
        <f>IFERROR(__xludf.DUMMYFUNCTION("SPLIT(A110,"","")"),111.0)</f>
        <v>111</v>
      </c>
      <c r="C110" s="1" t="str">
        <f>IFERROR(__xludf.DUMMYFUNCTION("""COMPUTED_VALUE"""),"মোঃ ছুরমান আলী")</f>
        <v>মোঃ ছুরমান আলী</v>
      </c>
      <c r="D110" s="1">
        <f>IFERROR(__xludf.DUMMYFUNCTION("""COMPUTED_VALUE"""),5.70054374292E11)</f>
        <v>570054374292</v>
      </c>
      <c r="E110" s="1" t="str">
        <f>IFERROR(__xludf.DUMMYFUNCTION("""COMPUTED_VALUE"""),"মজহার আলী")</f>
        <v>মজহার আলী</v>
      </c>
      <c r="F110" s="1" t="str">
        <f>IFERROR(__xludf.DUMMYFUNCTION("""COMPUTED_VALUE"""),"মোছাঃ জাহানারা বেগম")</f>
        <v>মোছাঃ জাহানারা বেগম</v>
      </c>
      <c r="G110" s="1" t="str">
        <f>IFERROR(__xludf.DUMMYFUNCTION("""COMPUTED_VALUE"""),"১২/০৫/১৯৭৭")</f>
        <v>১২/০৫/১৯৭৭</v>
      </c>
      <c r="H110" s="1" t="str">
        <f>IFERROR(__xludf.DUMMYFUNCTION("""COMPUTED_VALUE"""),"শ্রমিক")</f>
        <v>শ্রমিক</v>
      </c>
      <c r="I110" s="1" t="str">
        <f>IFERROR(__xludf.DUMMYFUNCTION("""COMPUTED_VALUE"""),"মহিষাখোলা")</f>
        <v>মহিষাখোলা</v>
      </c>
      <c r="J110" s="1" t="str">
        <f>IFERROR(__xludf.DUMMYFUNCTION("""COMPUTED_VALUE""")," গাংনী")</f>
        <v> গাংনী</v>
      </c>
      <c r="K110" s="1" t="str">
        <f>IFERROR(__xludf.DUMMYFUNCTION("""COMPUTED_VALUE""")," মেহেরপুর")</f>
        <v> মেহেরপুর</v>
      </c>
    </row>
    <row r="111">
      <c r="A111" s="6" t="s">
        <v>2196</v>
      </c>
      <c r="B111" s="1">
        <f>IFERROR(__xludf.DUMMYFUNCTION("SPLIT(A111,"","")"),112.0)</f>
        <v>112</v>
      </c>
      <c r="C111" s="1" t="str">
        <f>IFERROR(__xludf.DUMMYFUNCTION("""COMPUTED_VALUE"""),"মোঃ হাসান আলী")</f>
        <v>মোঃ হাসান আলী</v>
      </c>
      <c r="D111" s="1">
        <f>IFERROR(__xludf.DUMMYFUNCTION("""COMPUTED_VALUE"""),5.70054374293E11)</f>
        <v>570054374293</v>
      </c>
      <c r="E111" s="1" t="str">
        <f>IFERROR(__xludf.DUMMYFUNCTION("""COMPUTED_VALUE"""),"মোঃ ইউছুব আলী")</f>
        <v>মোঃ ইউছুব আলী</v>
      </c>
      <c r="F111" s="1" t="str">
        <f>IFERROR(__xludf.DUMMYFUNCTION("""COMPUTED_VALUE"""),"মোছাঃ হাওয়া খাতুন")</f>
        <v>মোছাঃ হাওয়া খাতুন</v>
      </c>
      <c r="G111" s="1" t="str">
        <f>IFERROR(__xludf.DUMMYFUNCTION("""COMPUTED_VALUE"""),"৩১/১২/১৯৮০")</f>
        <v>৩১/১২/১৯৮০</v>
      </c>
      <c r="H111" s="1" t="str">
        <f>IFERROR(__xludf.DUMMYFUNCTION("""COMPUTED_VALUE"""),"কৃষক")</f>
        <v>কৃষক</v>
      </c>
      <c r="I111" s="1" t="str">
        <f>IFERROR(__xludf.DUMMYFUNCTION("""COMPUTED_VALUE"""),"মহিষাখোলা")</f>
        <v>মহিষাখোলা</v>
      </c>
      <c r="J111" s="1" t="str">
        <f>IFERROR(__xludf.DUMMYFUNCTION("""COMPUTED_VALUE""")," গাংনী")</f>
        <v> গাংনী</v>
      </c>
      <c r="K111" s="1" t="str">
        <f>IFERROR(__xludf.DUMMYFUNCTION("""COMPUTED_VALUE""")," মেহেরপুর")</f>
        <v> মেহেরপুর</v>
      </c>
    </row>
    <row r="112">
      <c r="A112" s="6" t="s">
        <v>2197</v>
      </c>
      <c r="B112" s="1">
        <f>IFERROR(__xludf.DUMMYFUNCTION("SPLIT(A112,"","")"),113.0)</f>
        <v>113</v>
      </c>
      <c r="C112" s="1" t="str">
        <f>IFERROR(__xludf.DUMMYFUNCTION("""COMPUTED_VALUE"""),"মোঃ আঃ করিম")</f>
        <v>মোঃ আঃ করিম</v>
      </c>
      <c r="D112" s="1">
        <f>IFERROR(__xludf.DUMMYFUNCTION("""COMPUTED_VALUE"""),5.70054374294E11)</f>
        <v>570054374294</v>
      </c>
      <c r="E112" s="1" t="str">
        <f>IFERROR(__xludf.DUMMYFUNCTION("""COMPUTED_VALUE"""),"মোঃ সামসুল হক")</f>
        <v>মোঃ সামসুল হক</v>
      </c>
      <c r="F112" s="1" t="str">
        <f>IFERROR(__xludf.DUMMYFUNCTION("""COMPUTED_VALUE"""),"আছিয়া বেগম")</f>
        <v>আছিয়া বেগম</v>
      </c>
      <c r="G112" s="1" t="str">
        <f>IFERROR(__xludf.DUMMYFUNCTION("""COMPUTED_VALUE"""),"১০/০৫/১৯৬৯")</f>
        <v>১০/০৫/১৯৬৯</v>
      </c>
      <c r="H112" s="1" t="str">
        <f>IFERROR(__xludf.DUMMYFUNCTION("""COMPUTED_VALUE"""),"শ্রমিক")</f>
        <v>শ্রমিক</v>
      </c>
      <c r="I112" s="1" t="str">
        <f>IFERROR(__xludf.DUMMYFUNCTION("""COMPUTED_VALUE"""),"মহিষাখোলা")</f>
        <v>মহিষাখোলা</v>
      </c>
      <c r="J112" s="1" t="str">
        <f>IFERROR(__xludf.DUMMYFUNCTION("""COMPUTED_VALUE""")," গাংনী")</f>
        <v> গাংনী</v>
      </c>
      <c r="K112" s="1" t="str">
        <f>IFERROR(__xludf.DUMMYFUNCTION("""COMPUTED_VALUE""")," মেহেরপুর")</f>
        <v> মেহেরপুর</v>
      </c>
    </row>
    <row r="113">
      <c r="A113" s="6" t="s">
        <v>2198</v>
      </c>
      <c r="B113" s="1">
        <f>IFERROR(__xludf.DUMMYFUNCTION("SPLIT(A113,"","")"),114.0)</f>
        <v>114</v>
      </c>
      <c r="C113" s="1" t="str">
        <f>IFERROR(__xludf.DUMMYFUNCTION("""COMPUTED_VALUE"""),"মোঃ হুমায়ন")</f>
        <v>মোঃ হুমায়ন</v>
      </c>
      <c r="D113" s="1">
        <f>IFERROR(__xludf.DUMMYFUNCTION("""COMPUTED_VALUE"""),5.70054374295E11)</f>
        <v>570054374295</v>
      </c>
      <c r="E113" s="1" t="str">
        <f>IFERROR(__xludf.DUMMYFUNCTION("""COMPUTED_VALUE"""),"মোঃ আঃ কুদ্দুস")</f>
        <v>মোঃ আঃ কুদ্দুস</v>
      </c>
      <c r="F113" s="1" t="str">
        <f>IFERROR(__xludf.DUMMYFUNCTION("""COMPUTED_VALUE"""),"মোছাঃ জোসনা খাতুন")</f>
        <v>মোছাঃ জোসনা খাতুন</v>
      </c>
      <c r="G113" s="1" t="str">
        <f>IFERROR(__xludf.DUMMYFUNCTION("""COMPUTED_VALUE"""),"১৫/১০/১৯৭৯")</f>
        <v>১৫/১০/১৯৭৯</v>
      </c>
      <c r="H113" s="1" t="str">
        <f>IFERROR(__xludf.DUMMYFUNCTION("""COMPUTED_VALUE"""),"কৃষক")</f>
        <v>কৃষক</v>
      </c>
      <c r="I113" s="1" t="str">
        <f>IFERROR(__xludf.DUMMYFUNCTION("""COMPUTED_VALUE"""),"মহিষাখোলা")</f>
        <v>মহিষাখোলা</v>
      </c>
      <c r="J113" s="1" t="str">
        <f>IFERROR(__xludf.DUMMYFUNCTION("""COMPUTED_VALUE""")," গাংনী")</f>
        <v> গাংনী</v>
      </c>
      <c r="K113" s="1" t="str">
        <f>IFERROR(__xludf.DUMMYFUNCTION("""COMPUTED_VALUE""")," মেহেরপুর")</f>
        <v> মেহেরপুর</v>
      </c>
    </row>
    <row r="114">
      <c r="A114" s="6" t="s">
        <v>2199</v>
      </c>
      <c r="B114" s="1">
        <f>IFERROR(__xludf.DUMMYFUNCTION("SPLIT(A114,"","")"),115.0)</f>
        <v>115</v>
      </c>
      <c r="C114" s="1" t="str">
        <f>IFERROR(__xludf.DUMMYFUNCTION("""COMPUTED_VALUE"""),"মোহাম্মদ কামরুল ইসলাম")</f>
        <v>মোহাম্মদ কামরুল ইসলাম</v>
      </c>
      <c r="D114" s="1">
        <f>IFERROR(__xludf.DUMMYFUNCTION("""COMPUTED_VALUE"""),5.70054374298E11)</f>
        <v>570054374298</v>
      </c>
      <c r="E114" s="1" t="str">
        <f>IFERROR(__xludf.DUMMYFUNCTION("""COMPUTED_VALUE"""),"শামসুল")</f>
        <v>শামসুল</v>
      </c>
      <c r="F114" s="1" t="str">
        <f>IFERROR(__xludf.DUMMYFUNCTION("""COMPUTED_VALUE"""),"আলতাফুন নেছা")</f>
        <v>আলতাফুন নেছা</v>
      </c>
      <c r="G114" s="1" t="str">
        <f>IFERROR(__xludf.DUMMYFUNCTION("""COMPUTED_VALUE"""),"০৬/১০/১৯৮৬")</f>
        <v>০৬/১০/১৯৮৬</v>
      </c>
      <c r="H114" s="1" t="str">
        <f>IFERROR(__xludf.DUMMYFUNCTION("""COMPUTED_VALUE"""),"কৃষক")</f>
        <v>কৃষক</v>
      </c>
      <c r="I114" s="1" t="str">
        <f>IFERROR(__xludf.DUMMYFUNCTION("""COMPUTED_VALUE"""),"মহিষাখোলা")</f>
        <v>মহিষাখোলা</v>
      </c>
      <c r="J114" s="1" t="str">
        <f>IFERROR(__xludf.DUMMYFUNCTION("""COMPUTED_VALUE""")," গাংনী")</f>
        <v> গাংনী</v>
      </c>
      <c r="K114" s="1" t="str">
        <f>IFERROR(__xludf.DUMMYFUNCTION("""COMPUTED_VALUE""")," মেহেরপুর")</f>
        <v> মেহেরপুর</v>
      </c>
    </row>
    <row r="115">
      <c r="A115" s="6" t="s">
        <v>2200</v>
      </c>
      <c r="B115" s="1">
        <f>IFERROR(__xludf.DUMMYFUNCTION("SPLIT(A115,"","")"),116.0)</f>
        <v>116</v>
      </c>
      <c r="C115" s="1" t="str">
        <f>IFERROR(__xludf.DUMMYFUNCTION("""COMPUTED_VALUE"""),"মোঃ আঃ মজিদ")</f>
        <v>মোঃ আঃ মজিদ</v>
      </c>
      <c r="D115" s="1">
        <f>IFERROR(__xludf.DUMMYFUNCTION("""COMPUTED_VALUE"""),5.700543743E11)</f>
        <v>570054374300</v>
      </c>
      <c r="E115" s="1" t="str">
        <f>IFERROR(__xludf.DUMMYFUNCTION("""COMPUTED_VALUE"""),"মোঃ ঈমান আলী")</f>
        <v>মোঃ ঈমান আলী</v>
      </c>
      <c r="F115" s="1" t="str">
        <f>IFERROR(__xludf.DUMMYFUNCTION("""COMPUTED_VALUE"""),"মোছাঃ ছাপাই খাতুন")</f>
        <v>মোছাঃ ছাপাই খাতুন</v>
      </c>
      <c r="G115" s="1" t="str">
        <f>IFERROR(__xludf.DUMMYFUNCTION("""COMPUTED_VALUE"""),"০৮/১০/১৯৬৯")</f>
        <v>০৮/১০/১৯৬৯</v>
      </c>
      <c r="H115" s="1" t="str">
        <f>IFERROR(__xludf.DUMMYFUNCTION("""COMPUTED_VALUE"""),"শ্রমিক")</f>
        <v>শ্রমিক</v>
      </c>
      <c r="I115" s="1" t="str">
        <f>IFERROR(__xludf.DUMMYFUNCTION("""COMPUTED_VALUE"""),"মহিষাখোলা")</f>
        <v>মহিষাখোলা</v>
      </c>
      <c r="J115" s="1" t="str">
        <f>IFERROR(__xludf.DUMMYFUNCTION("""COMPUTED_VALUE""")," গাংনী")</f>
        <v> গাংনী</v>
      </c>
      <c r="K115" s="1" t="str">
        <f>IFERROR(__xludf.DUMMYFUNCTION("""COMPUTED_VALUE""")," মেহেরপুর")</f>
        <v> মেহেরপুর</v>
      </c>
    </row>
    <row r="116">
      <c r="A116" s="6" t="s">
        <v>2201</v>
      </c>
      <c r="B116" s="1">
        <f>IFERROR(__xludf.DUMMYFUNCTION("SPLIT(A116,"","")"),117.0)</f>
        <v>117</v>
      </c>
      <c r="C116" s="1" t="str">
        <f>IFERROR(__xludf.DUMMYFUNCTION("""COMPUTED_VALUE"""),"মোঃ নজরুল ইসলাম")</f>
        <v>মোঃ নজরুল ইসলাম</v>
      </c>
      <c r="D116" s="1">
        <f>IFERROR(__xludf.DUMMYFUNCTION("""COMPUTED_VALUE"""),5.70054374491E11)</f>
        <v>570054374491</v>
      </c>
      <c r="E116" s="1" t="str">
        <f>IFERROR(__xludf.DUMMYFUNCTION("""COMPUTED_VALUE"""),"মোঃ বাদশা মন্ডল")</f>
        <v>মোঃ বাদশা মন্ডল</v>
      </c>
      <c r="F116" s="1" t="str">
        <f>IFERROR(__xludf.DUMMYFUNCTION("""COMPUTED_VALUE"""),"মোছাঃ ফাতেমা খাতুন")</f>
        <v>মোছাঃ ফাতেমা খাতুন</v>
      </c>
      <c r="G116" s="1" t="str">
        <f>IFERROR(__xludf.DUMMYFUNCTION("""COMPUTED_VALUE"""),"১০/০৫/১৯৭২")</f>
        <v>১০/০৫/১৯৭২</v>
      </c>
      <c r="H116" s="1" t="str">
        <f>IFERROR(__xludf.DUMMYFUNCTION("""COMPUTED_VALUE"""),"কৃষক")</f>
        <v>কৃষক</v>
      </c>
      <c r="I116" s="1" t="str">
        <f>IFERROR(__xludf.DUMMYFUNCTION("""COMPUTED_VALUE"""),"মহিষাখোলা")</f>
        <v>মহিষাখোলা</v>
      </c>
      <c r="J116" s="1" t="str">
        <f>IFERROR(__xludf.DUMMYFUNCTION("""COMPUTED_VALUE""")," গাংনী")</f>
        <v> গাংনী</v>
      </c>
      <c r="K116" s="1" t="str">
        <f>IFERROR(__xludf.DUMMYFUNCTION("""COMPUTED_VALUE""")," মেহেরপুর")</f>
        <v> মেহেরপুর</v>
      </c>
    </row>
    <row r="117">
      <c r="A117" s="6" t="s">
        <v>2202</v>
      </c>
      <c r="B117" s="1">
        <f>IFERROR(__xludf.DUMMYFUNCTION("SPLIT(A117,"","")"),118.0)</f>
        <v>118</v>
      </c>
      <c r="C117" s="1" t="str">
        <f>IFERROR(__xludf.DUMMYFUNCTION("""COMPUTED_VALUE"""),"মোহাঃ মাহাতাব আলী")</f>
        <v>মোহাঃ মাহাতাব আলী</v>
      </c>
      <c r="D117" s="1">
        <f>IFERROR(__xludf.DUMMYFUNCTION("""COMPUTED_VALUE"""),5.70054374501E11)</f>
        <v>570054374501</v>
      </c>
      <c r="E117" s="1" t="str">
        <f>IFERROR(__xludf.DUMMYFUNCTION("""COMPUTED_VALUE"""),"এলাহী মন্ডল")</f>
        <v>এলাহী মন্ডল</v>
      </c>
      <c r="F117" s="1" t="str">
        <f>IFERROR(__xludf.DUMMYFUNCTION("""COMPUTED_VALUE"""),"মোছাঃ ওছিমা খাতুন")</f>
        <v>মোছাঃ ওছিমা খাতুন</v>
      </c>
      <c r="G117" s="1" t="str">
        <f>IFERROR(__xludf.DUMMYFUNCTION("""COMPUTED_VALUE"""),"০২/১০/১৯৬৭")</f>
        <v>০২/১০/১৯৬৭</v>
      </c>
      <c r="H117" s="1" t="str">
        <f>IFERROR(__xludf.DUMMYFUNCTION("""COMPUTED_VALUE"""),"দিনমজুর")</f>
        <v>দিনমজুর</v>
      </c>
      <c r="I117" s="1" t="str">
        <f>IFERROR(__xludf.DUMMYFUNCTION("""COMPUTED_VALUE"""),"মহিষাখোলা")</f>
        <v>মহিষাখোলা</v>
      </c>
      <c r="J117" s="1" t="str">
        <f>IFERROR(__xludf.DUMMYFUNCTION("""COMPUTED_VALUE""")," গাংনী")</f>
        <v> গাংনী</v>
      </c>
      <c r="K117" s="1" t="str">
        <f>IFERROR(__xludf.DUMMYFUNCTION("""COMPUTED_VALUE""")," মেহেরপুর")</f>
        <v> মেহেরপুর</v>
      </c>
    </row>
    <row r="118">
      <c r="A118" s="6" t="s">
        <v>2203</v>
      </c>
      <c r="B118" s="1">
        <f>IFERROR(__xludf.DUMMYFUNCTION("SPLIT(A118,"","")"),119.0)</f>
        <v>119</v>
      </c>
      <c r="C118" s="1" t="str">
        <f>IFERROR(__xludf.DUMMYFUNCTION("""COMPUTED_VALUE"""),"মোঃ মনিরুল ইসলাম")</f>
        <v>মোঃ মনিরুল ইসলাম</v>
      </c>
      <c r="D118" s="1">
        <f>IFERROR(__xludf.DUMMYFUNCTION("""COMPUTED_VALUE"""),5.70054374502E11)</f>
        <v>570054374502</v>
      </c>
      <c r="E118" s="1" t="str">
        <f>IFERROR(__xludf.DUMMYFUNCTION("""COMPUTED_VALUE"""),"মোহাঃ আজাহার মন্ডল")</f>
        <v>মোহাঃ আজাহার মন্ডল</v>
      </c>
      <c r="F118" s="1" t="str">
        <f>IFERROR(__xludf.DUMMYFUNCTION("""COMPUTED_VALUE"""),"মোছাঃ মিনিয়ারা খাতুন")</f>
        <v>মোছাঃ মিনিয়ারা খাতুন</v>
      </c>
      <c r="G118" s="1" t="str">
        <f>IFERROR(__xludf.DUMMYFUNCTION("""COMPUTED_VALUE"""),"০৭/০২/১৯৭২")</f>
        <v>০৭/০২/১৯৭২</v>
      </c>
      <c r="H118" s="1" t="str">
        <f>IFERROR(__xludf.DUMMYFUNCTION("""COMPUTED_VALUE"""),"রিক্সা/ভ্যান চালক")</f>
        <v>রিক্সা/ভ্যান চালক</v>
      </c>
      <c r="I118" s="1" t="str">
        <f>IFERROR(__xludf.DUMMYFUNCTION("""COMPUTED_VALUE"""),"মহিষাখোলা")</f>
        <v>মহিষাখোলা</v>
      </c>
      <c r="J118" s="1" t="str">
        <f>IFERROR(__xludf.DUMMYFUNCTION("""COMPUTED_VALUE""")," গাংনী")</f>
        <v> গাংনী</v>
      </c>
      <c r="K118" s="1" t="str">
        <f>IFERROR(__xludf.DUMMYFUNCTION("""COMPUTED_VALUE""")," মেহেরপুর")</f>
        <v> মেহেরপুর</v>
      </c>
    </row>
    <row r="119">
      <c r="A119" s="6" t="s">
        <v>2204</v>
      </c>
      <c r="B119" s="1">
        <f>IFERROR(__xludf.DUMMYFUNCTION("SPLIT(A119,"","")"),120.0)</f>
        <v>120</v>
      </c>
      <c r="C119" s="1" t="str">
        <f>IFERROR(__xludf.DUMMYFUNCTION("""COMPUTED_VALUE"""),"মোঃ আছের আলী")</f>
        <v>মোঃ আছের আলী</v>
      </c>
      <c r="D119" s="1">
        <f>IFERROR(__xludf.DUMMYFUNCTION("""COMPUTED_VALUE"""),5.70054374503E11)</f>
        <v>570054374503</v>
      </c>
      <c r="E119" s="1" t="str">
        <f>IFERROR(__xludf.DUMMYFUNCTION("""COMPUTED_VALUE"""),"মোহাঃ শমসের আলী")</f>
        <v>মোহাঃ শমসের আলী</v>
      </c>
      <c r="F119" s="1" t="str">
        <f>IFERROR(__xludf.DUMMYFUNCTION("""COMPUTED_VALUE"""),"মোছাঃ আছিয়া খাতুন")</f>
        <v>মোছাঃ আছিয়া খাতুন</v>
      </c>
      <c r="G119" s="1" t="str">
        <f>IFERROR(__xludf.DUMMYFUNCTION("""COMPUTED_VALUE"""),"০৮/১০/১৯৭৩")</f>
        <v>০৮/১০/১৯৭৩</v>
      </c>
      <c r="H119" s="1" t="str">
        <f>IFERROR(__xludf.DUMMYFUNCTION("""COMPUTED_VALUE"""),"কৃষক")</f>
        <v>কৃষক</v>
      </c>
      <c r="I119" s="1" t="str">
        <f>IFERROR(__xludf.DUMMYFUNCTION("""COMPUTED_VALUE"""),"মহিষাখোলা")</f>
        <v>মহিষাখোলা</v>
      </c>
      <c r="J119" s="1" t="str">
        <f>IFERROR(__xludf.DUMMYFUNCTION("""COMPUTED_VALUE""")," গাংনী")</f>
        <v> গাংনী</v>
      </c>
      <c r="K119" s="1" t="str">
        <f>IFERROR(__xludf.DUMMYFUNCTION("""COMPUTED_VALUE""")," মেহেরপুর")</f>
        <v> মেহেরপুর</v>
      </c>
    </row>
    <row r="120">
      <c r="A120" s="6" t="s">
        <v>2205</v>
      </c>
      <c r="B120" s="1">
        <f>IFERROR(__xludf.DUMMYFUNCTION("SPLIT(A120,"","")"),121.0)</f>
        <v>121</v>
      </c>
      <c r="C120" s="1" t="str">
        <f>IFERROR(__xludf.DUMMYFUNCTION("""COMPUTED_VALUE"""),"মোহাঃ মহিদুল ইসলাম")</f>
        <v>মোহাঃ মহিদুল ইসলাম</v>
      </c>
      <c r="D120" s="1">
        <f>IFERROR(__xludf.DUMMYFUNCTION("""COMPUTED_VALUE"""),5.70054374504E11)</f>
        <v>570054374504</v>
      </c>
      <c r="E120" s="1" t="str">
        <f>IFERROR(__xludf.DUMMYFUNCTION("""COMPUTED_VALUE"""),"মোঃ আমীরুদ্দিন")</f>
        <v>মোঃ আমীরুদ্দিন</v>
      </c>
      <c r="F120" s="1" t="str">
        <f>IFERROR(__xludf.DUMMYFUNCTION("""COMPUTED_VALUE"""),"মোছাঃ হাওয়া খাতুন")</f>
        <v>মোছাঃ হাওয়া খাতুন</v>
      </c>
      <c r="G120" s="1" t="str">
        <f>IFERROR(__xludf.DUMMYFUNCTION("""COMPUTED_VALUE"""),"০৮/১০/১৯৮৩")</f>
        <v>০৮/১০/১৯৮৩</v>
      </c>
      <c r="H120" s="1" t="str">
        <f>IFERROR(__xludf.DUMMYFUNCTION("""COMPUTED_VALUE"""),"কৃষক")</f>
        <v>কৃষক</v>
      </c>
      <c r="I120" s="1" t="str">
        <f>IFERROR(__xludf.DUMMYFUNCTION("""COMPUTED_VALUE"""),"মহিষাখোলা")</f>
        <v>মহিষাখোলা</v>
      </c>
      <c r="J120" s="1" t="str">
        <f>IFERROR(__xludf.DUMMYFUNCTION("""COMPUTED_VALUE""")," গাংনী")</f>
        <v> গাংনী</v>
      </c>
      <c r="K120" s="1" t="str">
        <f>IFERROR(__xludf.DUMMYFUNCTION("""COMPUTED_VALUE""")," মেহেরপুর")</f>
        <v> মেহেরপুর</v>
      </c>
    </row>
    <row r="121">
      <c r="A121" s="6" t="s">
        <v>2206</v>
      </c>
      <c r="B121" s="1">
        <f>IFERROR(__xludf.DUMMYFUNCTION("SPLIT(A121,"","")"),122.0)</f>
        <v>122</v>
      </c>
      <c r="C121" s="1" t="str">
        <f>IFERROR(__xludf.DUMMYFUNCTION("""COMPUTED_VALUE"""),"আব্দুল্লাহ আল মামুন")</f>
        <v>আব্দুল্লাহ আল মামুন</v>
      </c>
      <c r="D121" s="1">
        <f>IFERROR(__xludf.DUMMYFUNCTION("""COMPUTED_VALUE"""),5.70054374505E11)</f>
        <v>570054374505</v>
      </c>
      <c r="E121" s="1" t="str">
        <f>IFERROR(__xludf.DUMMYFUNCTION("""COMPUTED_VALUE"""),"নুরুল ইসলাম")</f>
        <v>নুরুল ইসলাম</v>
      </c>
      <c r="F121" s="1" t="str">
        <f>IFERROR(__xludf.DUMMYFUNCTION("""COMPUTED_VALUE"""),"সাহানারা খাতুন")</f>
        <v>সাহানারা খাতুন</v>
      </c>
      <c r="G121" s="1" t="str">
        <f>IFERROR(__xludf.DUMMYFUNCTION("""COMPUTED_VALUE"""),"৩১/১২/১৯৭৯")</f>
        <v>৩১/১২/১৯৭৯</v>
      </c>
      <c r="H121" s="1" t="str">
        <f>IFERROR(__xludf.DUMMYFUNCTION("""COMPUTED_VALUE"""),"ব্যবসা")</f>
        <v>ব্যবসা</v>
      </c>
      <c r="I121" s="1" t="str">
        <f>IFERROR(__xludf.DUMMYFUNCTION("""COMPUTED_VALUE"""),"মহিষাখোলা")</f>
        <v>মহিষাখোলা</v>
      </c>
      <c r="J121" s="1" t="str">
        <f>IFERROR(__xludf.DUMMYFUNCTION("""COMPUTED_VALUE""")," গাংনী")</f>
        <v> গাংনী</v>
      </c>
      <c r="K121" s="1" t="str">
        <f>IFERROR(__xludf.DUMMYFUNCTION("""COMPUTED_VALUE""")," মেহেরপুর")</f>
        <v> মেহেরপুর</v>
      </c>
    </row>
    <row r="122">
      <c r="A122" s="6" t="s">
        <v>2207</v>
      </c>
      <c r="B122" s="1">
        <f>IFERROR(__xludf.DUMMYFUNCTION("SPLIT(A122,"","")"),123.0)</f>
        <v>123</v>
      </c>
      <c r="C122" s="1" t="str">
        <f>IFERROR(__xludf.DUMMYFUNCTION("""COMPUTED_VALUE"""),"মোহাঃ ইসমাইল হোসেন")</f>
        <v>মোহাঃ ইসমাইল হোসেন</v>
      </c>
      <c r="D122" s="1">
        <f>IFERROR(__xludf.DUMMYFUNCTION("""COMPUTED_VALUE"""),5.70054374506E11)</f>
        <v>570054374506</v>
      </c>
      <c r="E122" s="1" t="str">
        <f>IFERROR(__xludf.DUMMYFUNCTION("""COMPUTED_VALUE"""),"শুকুর আলী")</f>
        <v>শুকুর আলী</v>
      </c>
      <c r="F122" s="1" t="str">
        <f>IFERROR(__xludf.DUMMYFUNCTION("""COMPUTED_VALUE"""),"সারা খাতুন")</f>
        <v>সারা খাতুন</v>
      </c>
      <c r="G122" s="1" t="str">
        <f>IFERROR(__xludf.DUMMYFUNCTION("""COMPUTED_VALUE"""),"২১/১০/১৯৬৭")</f>
        <v>২১/১০/১৯৬৭</v>
      </c>
      <c r="H122" s="1" t="str">
        <f>IFERROR(__xludf.DUMMYFUNCTION("""COMPUTED_VALUE"""),"সরকারী চাকুরী")</f>
        <v>সরকারী চাকুরী</v>
      </c>
      <c r="I122" s="1" t="str">
        <f>IFERROR(__xludf.DUMMYFUNCTION("""COMPUTED_VALUE"""),"মহিষাখোলা")</f>
        <v>মহিষাখোলা</v>
      </c>
      <c r="J122" s="1" t="str">
        <f>IFERROR(__xludf.DUMMYFUNCTION("""COMPUTED_VALUE""")," গাংনী")</f>
        <v> গাংনী</v>
      </c>
      <c r="K122" s="1" t="str">
        <f>IFERROR(__xludf.DUMMYFUNCTION("""COMPUTED_VALUE""")," মেহেরপুর")</f>
        <v> মেহেরপুর</v>
      </c>
    </row>
    <row r="123">
      <c r="A123" s="6" t="s">
        <v>2208</v>
      </c>
      <c r="B123" s="1">
        <f>IFERROR(__xludf.DUMMYFUNCTION("SPLIT(A123,"","")"),124.0)</f>
        <v>124</v>
      </c>
      <c r="C123" s="1" t="str">
        <f>IFERROR(__xludf.DUMMYFUNCTION("""COMPUTED_VALUE"""),"মোঃ আব্দুস ছাত্তার")</f>
        <v>মোঃ আব্দুস ছাত্তার</v>
      </c>
      <c r="D123" s="1">
        <f>IFERROR(__xludf.DUMMYFUNCTION("""COMPUTED_VALUE"""),5.70054374507E11)</f>
        <v>570054374507</v>
      </c>
      <c r="E123" s="1" t="str">
        <f>IFERROR(__xludf.DUMMYFUNCTION("""COMPUTED_VALUE"""),"আরজুল্লা")</f>
        <v>আরজুল্লা</v>
      </c>
      <c r="F123" s="1" t="str">
        <f>IFERROR(__xludf.DUMMYFUNCTION("""COMPUTED_VALUE"""),"ফতেজান")</f>
        <v>ফতেজান</v>
      </c>
      <c r="G123" s="1" t="str">
        <f>IFERROR(__xludf.DUMMYFUNCTION("""COMPUTED_VALUE"""),"২৩/০৬/১৯৭২")</f>
        <v>২৩/০৬/১৯৭২</v>
      </c>
      <c r="H123" s="1" t="str">
        <f>IFERROR(__xludf.DUMMYFUNCTION("""COMPUTED_VALUE"""),"শ্রমিক")</f>
        <v>শ্রমিক</v>
      </c>
      <c r="I123" s="1" t="str">
        <f>IFERROR(__xludf.DUMMYFUNCTION("""COMPUTED_VALUE"""),"মহিষাখোলা")</f>
        <v>মহিষাখোলা</v>
      </c>
      <c r="J123" s="1" t="str">
        <f>IFERROR(__xludf.DUMMYFUNCTION("""COMPUTED_VALUE""")," গাংনী")</f>
        <v> গাংনী</v>
      </c>
      <c r="K123" s="1" t="str">
        <f>IFERROR(__xludf.DUMMYFUNCTION("""COMPUTED_VALUE""")," মেহেরপুর")</f>
        <v> মেহেরপুর</v>
      </c>
    </row>
    <row r="124">
      <c r="A124" s="6" t="s">
        <v>2209</v>
      </c>
      <c r="B124" s="1">
        <f>IFERROR(__xludf.DUMMYFUNCTION("SPLIT(A124,"","")"),125.0)</f>
        <v>125</v>
      </c>
      <c r="C124" s="1" t="str">
        <f>IFERROR(__xludf.DUMMYFUNCTION("""COMPUTED_VALUE"""),"মোঃ মামুন-অর-রশিদ")</f>
        <v>মোঃ মামুন-অর-রশিদ</v>
      </c>
      <c r="D124" s="1">
        <f>IFERROR(__xludf.DUMMYFUNCTION("""COMPUTED_VALUE"""),5.70054374508E11)</f>
        <v>570054374508</v>
      </c>
      <c r="E124" s="1" t="str">
        <f>IFERROR(__xludf.DUMMYFUNCTION("""COMPUTED_VALUE"""),"মোঃ মজিবর রহমান")</f>
        <v>মোঃ মজিবর রহমান</v>
      </c>
      <c r="F124" s="1" t="str">
        <f>IFERROR(__xludf.DUMMYFUNCTION("""COMPUTED_VALUE"""),"মোছাঃ রাজিয়া খাতুন")</f>
        <v>মোছাঃ রাজিয়া খাতুন</v>
      </c>
      <c r="G124" s="1" t="str">
        <f>IFERROR(__xludf.DUMMYFUNCTION("""COMPUTED_VALUE"""),"০৫/০৪/১৯৮৮")</f>
        <v>০৫/০৪/১৯৮৮</v>
      </c>
      <c r="H124" s="1" t="str">
        <f>IFERROR(__xludf.DUMMYFUNCTION("""COMPUTED_VALUE"""),"কৃষক")</f>
        <v>কৃষক</v>
      </c>
      <c r="I124" s="1" t="str">
        <f>IFERROR(__xludf.DUMMYFUNCTION("""COMPUTED_VALUE"""),"মহিষাখোলা")</f>
        <v>মহিষাখোলা</v>
      </c>
      <c r="J124" s="1" t="str">
        <f>IFERROR(__xludf.DUMMYFUNCTION("""COMPUTED_VALUE""")," গাংনী")</f>
        <v> গাংনী</v>
      </c>
      <c r="K124" s="1" t="str">
        <f>IFERROR(__xludf.DUMMYFUNCTION("""COMPUTED_VALUE""")," মেহেরপুর")</f>
        <v> মেহেরপুর</v>
      </c>
    </row>
    <row r="125">
      <c r="A125" s="6" t="s">
        <v>2210</v>
      </c>
      <c r="B125" s="1">
        <f>IFERROR(__xludf.DUMMYFUNCTION("SPLIT(A125,"","")"),126.0)</f>
        <v>126</v>
      </c>
      <c r="C125" s="1" t="str">
        <f>IFERROR(__xludf.DUMMYFUNCTION("""COMPUTED_VALUE"""),"মোঃ বন্টু আলী")</f>
        <v>মোঃ বন্টু আলী</v>
      </c>
      <c r="D125" s="1">
        <f>IFERROR(__xludf.DUMMYFUNCTION("""COMPUTED_VALUE"""),5.70054374509E11)</f>
        <v>570054374509</v>
      </c>
      <c r="E125" s="1" t="str">
        <f>IFERROR(__xludf.DUMMYFUNCTION("""COMPUTED_VALUE"""),"খেদের আলী")</f>
        <v>খেদের আলী</v>
      </c>
      <c r="F125" s="1" t="str">
        <f>IFERROR(__xludf.DUMMYFUNCTION("""COMPUTED_VALUE"""),"মোছাঃ ফাতেমা খাতুন")</f>
        <v>মোছাঃ ফাতেমা খাতুন</v>
      </c>
      <c r="G125" s="1" t="str">
        <f>IFERROR(__xludf.DUMMYFUNCTION("""COMPUTED_VALUE"""),"১০/০২/১৯৮৭")</f>
        <v>১০/০২/১৯৮৭</v>
      </c>
      <c r="H125" s="1" t="str">
        <f>IFERROR(__xludf.DUMMYFUNCTION("""COMPUTED_VALUE"""),"ব্যবসা")</f>
        <v>ব্যবসা</v>
      </c>
      <c r="I125" s="1" t="str">
        <f>IFERROR(__xludf.DUMMYFUNCTION("""COMPUTED_VALUE"""),"মহিষাখোলা")</f>
        <v>মহিষাখোলা</v>
      </c>
      <c r="J125" s="1" t="str">
        <f>IFERROR(__xludf.DUMMYFUNCTION("""COMPUTED_VALUE""")," গাংনী")</f>
        <v> গাংনী</v>
      </c>
      <c r="K125" s="1" t="str">
        <f>IFERROR(__xludf.DUMMYFUNCTION("""COMPUTED_VALUE""")," মেহেরপুর")</f>
        <v> মেহেরপুর</v>
      </c>
    </row>
    <row r="126">
      <c r="A126" s="6" t="s">
        <v>2211</v>
      </c>
      <c r="B126" s="1">
        <f>IFERROR(__xludf.DUMMYFUNCTION("SPLIT(A126,"","")"),127.0)</f>
        <v>127</v>
      </c>
      <c r="C126" s="1" t="str">
        <f>IFERROR(__xludf.DUMMYFUNCTION("""COMPUTED_VALUE"""),"মোঃ হোসেন আলী")</f>
        <v>মোঃ হোসেন আলী</v>
      </c>
      <c r="D126" s="1">
        <f>IFERROR(__xludf.DUMMYFUNCTION("""COMPUTED_VALUE"""),5.7005437451E11)</f>
        <v>570054374510</v>
      </c>
      <c r="E126" s="1" t="str">
        <f>IFERROR(__xludf.DUMMYFUNCTION("""COMPUTED_VALUE"""),"মোঃ ইউসুফ আলী")</f>
        <v>মোঃ ইউসুফ আলী</v>
      </c>
      <c r="F126" s="1" t="str">
        <f>IFERROR(__xludf.DUMMYFUNCTION("""COMPUTED_VALUE"""),"মোছাঃ হাওয়া খাতুন")</f>
        <v>মোছাঃ হাওয়া খাতুন</v>
      </c>
      <c r="G126" s="1" t="str">
        <f>IFERROR(__xludf.DUMMYFUNCTION("""COMPUTED_VALUE"""),"১০/০২/১৯৮২")</f>
        <v>১০/০২/১৯৮২</v>
      </c>
      <c r="H126" s="1" t="str">
        <f>IFERROR(__xludf.DUMMYFUNCTION("""COMPUTED_VALUE"""),"দিনমজুর")</f>
        <v>দিনমজুর</v>
      </c>
      <c r="I126" s="1" t="str">
        <f>IFERROR(__xludf.DUMMYFUNCTION("""COMPUTED_VALUE"""),"মহিষাখোলা")</f>
        <v>মহিষাখোলা</v>
      </c>
      <c r="J126" s="1" t="str">
        <f>IFERROR(__xludf.DUMMYFUNCTION("""COMPUTED_VALUE""")," গাংনী")</f>
        <v> গাংনী</v>
      </c>
      <c r="K126" s="1" t="str">
        <f>IFERROR(__xludf.DUMMYFUNCTION("""COMPUTED_VALUE""")," মেহেরপুর")</f>
        <v> মেহেরপুর</v>
      </c>
    </row>
    <row r="127">
      <c r="A127" s="6" t="s">
        <v>2212</v>
      </c>
      <c r="B127" s="1">
        <f>IFERROR(__xludf.DUMMYFUNCTION("SPLIT(A127,"","")"),128.0)</f>
        <v>128</v>
      </c>
      <c r="C127" s="1" t="str">
        <f>IFERROR(__xludf.DUMMYFUNCTION("""COMPUTED_VALUE"""),"মোঃ রফিকুল ইসলাম")</f>
        <v>মোঃ রফিকুল ইসলাম</v>
      </c>
      <c r="D127" s="1">
        <f>IFERROR(__xludf.DUMMYFUNCTION("""COMPUTED_VALUE"""),5.70054374511E11)</f>
        <v>570054374511</v>
      </c>
      <c r="E127" s="1" t="str">
        <f>IFERROR(__xludf.DUMMYFUNCTION("""COMPUTED_VALUE"""),"মোতালেব")</f>
        <v>মোতালেব</v>
      </c>
      <c r="F127" s="1" t="str">
        <f>IFERROR(__xludf.DUMMYFUNCTION("""COMPUTED_VALUE"""),"মোছাঃ হামিদা খাতুন")</f>
        <v>মোছাঃ হামিদা খাতুন</v>
      </c>
      <c r="G127" s="1" t="str">
        <f>IFERROR(__xludf.DUMMYFUNCTION("""COMPUTED_VALUE"""),"২১/০৯/১৯৬৫")</f>
        <v>২১/০৯/১৯৬৫</v>
      </c>
      <c r="H127" s="1" t="str">
        <f>IFERROR(__xludf.DUMMYFUNCTION("""COMPUTED_VALUE"""),"শ্রমিক")</f>
        <v>শ্রমিক</v>
      </c>
      <c r="I127" s="1" t="str">
        <f>IFERROR(__xludf.DUMMYFUNCTION("""COMPUTED_VALUE"""),"মহিষাখোলা")</f>
        <v>মহিষাখোলা</v>
      </c>
      <c r="J127" s="1" t="str">
        <f>IFERROR(__xludf.DUMMYFUNCTION("""COMPUTED_VALUE""")," গাংনী")</f>
        <v> গাংনী</v>
      </c>
      <c r="K127" s="1" t="str">
        <f>IFERROR(__xludf.DUMMYFUNCTION("""COMPUTED_VALUE""")," মেহেরপুর")</f>
        <v> মেহেরপুর</v>
      </c>
    </row>
    <row r="128">
      <c r="A128" s="6" t="s">
        <v>2213</v>
      </c>
      <c r="B128" s="1">
        <f>IFERROR(__xludf.DUMMYFUNCTION("SPLIT(A128,"","")"),129.0)</f>
        <v>129</v>
      </c>
      <c r="C128" s="1" t="str">
        <f>IFERROR(__xludf.DUMMYFUNCTION("""COMPUTED_VALUE"""),"মোঃ খেজমত আলী")</f>
        <v>মোঃ খেজমত আলী</v>
      </c>
      <c r="D128" s="1">
        <f>IFERROR(__xludf.DUMMYFUNCTION("""COMPUTED_VALUE"""),5.70054374514E11)</f>
        <v>570054374514</v>
      </c>
      <c r="E128" s="1" t="str">
        <f>IFERROR(__xludf.DUMMYFUNCTION("""COMPUTED_VALUE"""),"আব্দুল সেখ")</f>
        <v>আব্দুল সেখ</v>
      </c>
      <c r="F128" s="1" t="str">
        <f>IFERROR(__xludf.DUMMYFUNCTION("""COMPUTED_VALUE"""),"পইরন নেছা")</f>
        <v>পইরন নেছা</v>
      </c>
      <c r="G128" s="1" t="str">
        <f>IFERROR(__xludf.DUMMYFUNCTION("""COMPUTED_VALUE"""),"২৫/০৩/১৯৬১")</f>
        <v>২৫/০৩/১৯৬১</v>
      </c>
      <c r="H128" s="1" t="str">
        <f>IFERROR(__xludf.DUMMYFUNCTION("""COMPUTED_VALUE"""),"শ্রমিক")</f>
        <v>শ্রমিক</v>
      </c>
      <c r="I128" s="1" t="str">
        <f>IFERROR(__xludf.DUMMYFUNCTION("""COMPUTED_VALUE"""),"মহিষাখোলা")</f>
        <v>মহিষাখোলা</v>
      </c>
      <c r="J128" s="1" t="str">
        <f>IFERROR(__xludf.DUMMYFUNCTION("""COMPUTED_VALUE""")," গাংনী")</f>
        <v> গাংনী</v>
      </c>
      <c r="K128" s="1" t="str">
        <f>IFERROR(__xludf.DUMMYFUNCTION("""COMPUTED_VALUE""")," মেহেরপুর")</f>
        <v> মেহেরপুর</v>
      </c>
    </row>
    <row r="129">
      <c r="A129" s="6" t="s">
        <v>2214</v>
      </c>
      <c r="B129" s="1">
        <f>IFERROR(__xludf.DUMMYFUNCTION("SPLIT(A129,"","")"),130.0)</f>
        <v>130</v>
      </c>
      <c r="C129" s="1" t="str">
        <f>IFERROR(__xludf.DUMMYFUNCTION("""COMPUTED_VALUE"""),"মোঃ জাকিরুল ইসলাম")</f>
        <v>মোঃ জাকিরুল ইসলাম</v>
      </c>
      <c r="D129" s="1">
        <f>IFERROR(__xludf.DUMMYFUNCTION("""COMPUTED_VALUE"""),5.70054374515E11)</f>
        <v>570054374515</v>
      </c>
      <c r="E129" s="1" t="str">
        <f>IFERROR(__xludf.DUMMYFUNCTION("""COMPUTED_VALUE"""),"এলাহী বকস")</f>
        <v>এলাহী বকস</v>
      </c>
      <c r="F129" s="1" t="str">
        <f>IFERROR(__xludf.DUMMYFUNCTION("""COMPUTED_VALUE"""),"মোছাঃ ওসিমা খাতুন")</f>
        <v>মোছাঃ ওসিমা খাতুন</v>
      </c>
      <c r="G129" s="1" t="str">
        <f>IFERROR(__xludf.DUMMYFUNCTION("""COMPUTED_VALUE"""),"১০/০৬/১৯৭১")</f>
        <v>১০/০৬/১৯৭১</v>
      </c>
      <c r="H129" s="1" t="str">
        <f>IFERROR(__xludf.DUMMYFUNCTION("""COMPUTED_VALUE"""),"শ্রমিক")</f>
        <v>শ্রমিক</v>
      </c>
      <c r="I129" s="1" t="str">
        <f>IFERROR(__xludf.DUMMYFUNCTION("""COMPUTED_VALUE"""),"মহিষাখোলা")</f>
        <v>মহিষাখোলা</v>
      </c>
      <c r="J129" s="1" t="str">
        <f>IFERROR(__xludf.DUMMYFUNCTION("""COMPUTED_VALUE""")," গাংনী")</f>
        <v> গাংনী</v>
      </c>
      <c r="K129" s="1" t="str">
        <f>IFERROR(__xludf.DUMMYFUNCTION("""COMPUTED_VALUE""")," মেহেরপুর")</f>
        <v> মেহেরপুর</v>
      </c>
    </row>
    <row r="130">
      <c r="A130" s="6" t="s">
        <v>2215</v>
      </c>
      <c r="B130" s="1">
        <f>IFERROR(__xludf.DUMMYFUNCTION("SPLIT(A130,"","")"),131.0)</f>
        <v>131</v>
      </c>
      <c r="C130" s="1" t="str">
        <f>IFERROR(__xludf.DUMMYFUNCTION("""COMPUTED_VALUE"""),"মোঃ ফয়জাল হোসেন")</f>
        <v>মোঃ ফয়জাল হোসেন</v>
      </c>
      <c r="D130" s="1">
        <f>IFERROR(__xludf.DUMMYFUNCTION("""COMPUTED_VALUE"""),5.70054374516E11)</f>
        <v>570054374516</v>
      </c>
      <c r="E130" s="1" t="str">
        <f>IFERROR(__xludf.DUMMYFUNCTION("""COMPUTED_VALUE"""),"মঞ্জুহার মন্ডল")</f>
        <v>মঞ্জুহার মন্ডল</v>
      </c>
      <c r="F130" s="1" t="str">
        <f>IFERROR(__xludf.DUMMYFUNCTION("""COMPUTED_VALUE"""),"মোছাঃ জাহানারা খাতুন")</f>
        <v>মোছাঃ জাহানারা খাতুন</v>
      </c>
      <c r="G130" s="1" t="str">
        <f>IFERROR(__xludf.DUMMYFUNCTION("""COMPUTED_VALUE"""),"১৭/০৯/১৯৮২")</f>
        <v>১৭/০৯/১৯৮২</v>
      </c>
      <c r="H130" s="1" t="str">
        <f>IFERROR(__xludf.DUMMYFUNCTION("""COMPUTED_VALUE"""),"শ্রমিক")</f>
        <v>শ্রমিক</v>
      </c>
      <c r="I130" s="1" t="str">
        <f>IFERROR(__xludf.DUMMYFUNCTION("""COMPUTED_VALUE"""),"মহিষাখোলা")</f>
        <v>মহিষাখোলা</v>
      </c>
      <c r="J130" s="1" t="str">
        <f>IFERROR(__xludf.DUMMYFUNCTION("""COMPUTED_VALUE""")," গাংনী")</f>
        <v> গাংনী</v>
      </c>
      <c r="K130" s="1" t="str">
        <f>IFERROR(__xludf.DUMMYFUNCTION("""COMPUTED_VALUE""")," মেহেরপুর")</f>
        <v> মেহেরপুর</v>
      </c>
    </row>
    <row r="131">
      <c r="A131" s="6" t="s">
        <v>2216</v>
      </c>
      <c r="B131" s="1">
        <f>IFERROR(__xludf.DUMMYFUNCTION("SPLIT(A131,"","")"),132.0)</f>
        <v>132</v>
      </c>
      <c r="C131" s="1" t="str">
        <f>IFERROR(__xludf.DUMMYFUNCTION("""COMPUTED_VALUE"""),"মোঃ উজ্জ্বল হোসেন")</f>
        <v>মোঃ উজ্জ্বল হোসেন</v>
      </c>
      <c r="D131" s="1">
        <f>IFERROR(__xludf.DUMMYFUNCTION("""COMPUTED_VALUE"""),5.70054374517E11)</f>
        <v>570054374517</v>
      </c>
      <c r="E131" s="1" t="str">
        <f>IFERROR(__xludf.DUMMYFUNCTION("""COMPUTED_VALUE"""),"মোঃ আমজাদ হোসেন")</f>
        <v>মোঃ আমজাদ হোসেন</v>
      </c>
      <c r="F131" s="1" t="str">
        <f>IFERROR(__xludf.DUMMYFUNCTION("""COMPUTED_VALUE"""),"মোছাঃ তহুরা বেগম")</f>
        <v>মোছাঃ তহুরা বেগম</v>
      </c>
      <c r="G131" s="1" t="str">
        <f>IFERROR(__xludf.DUMMYFUNCTION("""COMPUTED_VALUE"""),"১০/০২/১৯৮৩")</f>
        <v>১০/০২/১৯৮৩</v>
      </c>
      <c r="H131" s="1" t="str">
        <f>IFERROR(__xludf.DUMMYFUNCTION("""COMPUTED_VALUE"""),"বেসরকারী চাকুরী")</f>
        <v>বেসরকারী চাকুরী</v>
      </c>
      <c r="I131" s="1" t="str">
        <f>IFERROR(__xludf.DUMMYFUNCTION("""COMPUTED_VALUE"""),"মহিষাখোলা")</f>
        <v>মহিষাখোলা</v>
      </c>
      <c r="J131" s="1" t="str">
        <f>IFERROR(__xludf.DUMMYFUNCTION("""COMPUTED_VALUE""")," গাংনী")</f>
        <v> গাংনী</v>
      </c>
      <c r="K131" s="1" t="str">
        <f>IFERROR(__xludf.DUMMYFUNCTION("""COMPUTED_VALUE""")," মেহেরপুর")</f>
        <v> মেহেরপুর</v>
      </c>
    </row>
    <row r="132">
      <c r="A132" s="6" t="s">
        <v>2217</v>
      </c>
      <c r="B132" s="1">
        <f>IFERROR(__xludf.DUMMYFUNCTION("SPLIT(A132,"","")"),133.0)</f>
        <v>133</v>
      </c>
      <c r="C132" s="1" t="str">
        <f>IFERROR(__xludf.DUMMYFUNCTION("""COMPUTED_VALUE"""),"মোঃ মুরাদ আলী")</f>
        <v>মোঃ মুরাদ আলী</v>
      </c>
      <c r="D132" s="1">
        <f>IFERROR(__xludf.DUMMYFUNCTION("""COMPUTED_VALUE"""),5.70054374518E11)</f>
        <v>570054374518</v>
      </c>
      <c r="E132" s="1" t="str">
        <f>IFERROR(__xludf.DUMMYFUNCTION("""COMPUTED_VALUE"""),"ছিয়ামুদ্দীন")</f>
        <v>ছিয়ামুদ্দীন</v>
      </c>
      <c r="F132" s="1" t="str">
        <f>IFERROR(__xludf.DUMMYFUNCTION("""COMPUTED_VALUE"""),"মোছাঃ মজিরন নেছা")</f>
        <v>মোছাঃ মজিরন নেছা</v>
      </c>
      <c r="G132" s="1" t="str">
        <f>IFERROR(__xludf.DUMMYFUNCTION("""COMPUTED_VALUE"""),"১০/০৫/১৯৭৭")</f>
        <v>১০/০৫/১৯৭৭</v>
      </c>
      <c r="H132" s="1" t="str">
        <f>IFERROR(__xludf.DUMMYFUNCTION("""COMPUTED_VALUE"""),"কৃষক")</f>
        <v>কৃষক</v>
      </c>
      <c r="I132" s="1" t="str">
        <f>IFERROR(__xludf.DUMMYFUNCTION("""COMPUTED_VALUE"""),"মহিষাখোলা")</f>
        <v>মহিষাখোলা</v>
      </c>
      <c r="J132" s="1" t="str">
        <f>IFERROR(__xludf.DUMMYFUNCTION("""COMPUTED_VALUE""")," গাংনী")</f>
        <v> গাংনী</v>
      </c>
      <c r="K132" s="1" t="str">
        <f>IFERROR(__xludf.DUMMYFUNCTION("""COMPUTED_VALUE""")," মেহেরপুর")</f>
        <v> মেহেরপুর</v>
      </c>
    </row>
    <row r="133">
      <c r="A133" s="6" t="s">
        <v>2218</v>
      </c>
      <c r="B133" s="1">
        <f>IFERROR(__xludf.DUMMYFUNCTION("SPLIT(A133,"","")"),134.0)</f>
        <v>134</v>
      </c>
      <c r="C133" s="1" t="str">
        <f>IFERROR(__xludf.DUMMYFUNCTION("""COMPUTED_VALUE"""),"মোঃ আকরাম আলী")</f>
        <v>মোঃ আকরাম আলী</v>
      </c>
      <c r="D133" s="1">
        <f>IFERROR(__xludf.DUMMYFUNCTION("""COMPUTED_VALUE"""),5.70054374522E11)</f>
        <v>570054374522</v>
      </c>
      <c r="E133" s="1" t="str">
        <f>IFERROR(__xludf.DUMMYFUNCTION("""COMPUTED_VALUE"""),"তুষ্ট মন্ডল")</f>
        <v>তুষ্ট মন্ডল</v>
      </c>
      <c r="F133" s="1" t="str">
        <f>IFERROR(__xludf.DUMMYFUNCTION("""COMPUTED_VALUE"""),"নূরজাহান")</f>
        <v>নূরজাহান</v>
      </c>
      <c r="G133" s="1" t="str">
        <f>IFERROR(__xludf.DUMMYFUNCTION("""COMPUTED_VALUE"""),"১০/০২/১৯৬২")</f>
        <v>১০/০২/১৯৬২</v>
      </c>
      <c r="H133" s="1" t="str">
        <f>IFERROR(__xludf.DUMMYFUNCTION("""COMPUTED_VALUE"""),"দিনমজুর")</f>
        <v>দিনমজুর</v>
      </c>
      <c r="I133" s="1" t="str">
        <f>IFERROR(__xludf.DUMMYFUNCTION("""COMPUTED_VALUE"""),"মহিষাখোলা")</f>
        <v>মহিষাখোলা</v>
      </c>
      <c r="J133" s="1" t="str">
        <f>IFERROR(__xludf.DUMMYFUNCTION("""COMPUTED_VALUE""")," গাংনী")</f>
        <v> গাংনী</v>
      </c>
      <c r="K133" s="1" t="str">
        <f>IFERROR(__xludf.DUMMYFUNCTION("""COMPUTED_VALUE""")," মেহেরপুর")</f>
        <v> মেহেরপুর</v>
      </c>
    </row>
    <row r="134">
      <c r="A134" s="6" t="s">
        <v>2219</v>
      </c>
      <c r="B134" s="1">
        <f>IFERROR(__xludf.DUMMYFUNCTION("SPLIT(A134,"","")"),135.0)</f>
        <v>135</v>
      </c>
      <c r="C134" s="1" t="str">
        <f>IFERROR(__xludf.DUMMYFUNCTION("""COMPUTED_VALUE"""),"মোঃ সোলাইমান হোসেন")</f>
        <v>মোঃ সোলাইমান হোসেন</v>
      </c>
      <c r="D134" s="1">
        <f>IFERROR(__xludf.DUMMYFUNCTION("""COMPUTED_VALUE"""),5.70054374523E11)</f>
        <v>570054374523</v>
      </c>
      <c r="E134" s="1" t="str">
        <f>IFERROR(__xludf.DUMMYFUNCTION("""COMPUTED_VALUE"""),"মোঃ মুনছুর আলী")</f>
        <v>মোঃ মুনছুর আলী</v>
      </c>
      <c r="F134" s="1" t="str">
        <f>IFERROR(__xludf.DUMMYFUNCTION("""COMPUTED_VALUE"""),"মোছাঃ নূরজাহান খাতুন")</f>
        <v>মোছাঃ নূরজাহান খাতুন</v>
      </c>
      <c r="G134" s="1" t="str">
        <f>IFERROR(__xludf.DUMMYFUNCTION("""COMPUTED_VALUE"""),"১৫/০২/১৯৭৮")</f>
        <v>১৫/০২/১৯৭৮</v>
      </c>
      <c r="H134" s="1" t="str">
        <f>IFERROR(__xludf.DUMMYFUNCTION("""COMPUTED_VALUE"""),"কৃষক")</f>
        <v>কৃষক</v>
      </c>
      <c r="I134" s="1" t="str">
        <f>IFERROR(__xludf.DUMMYFUNCTION("""COMPUTED_VALUE"""),"মহিষাখোলা")</f>
        <v>মহিষাখোলা</v>
      </c>
      <c r="J134" s="1" t="str">
        <f>IFERROR(__xludf.DUMMYFUNCTION("""COMPUTED_VALUE""")," গাংনী")</f>
        <v> গাংনী</v>
      </c>
      <c r="K134" s="1" t="str">
        <f>IFERROR(__xludf.DUMMYFUNCTION("""COMPUTED_VALUE""")," মেহেরপুর")</f>
        <v> মেহেরপুর</v>
      </c>
    </row>
    <row r="135">
      <c r="A135" s="6" t="s">
        <v>2220</v>
      </c>
      <c r="B135" s="1">
        <f>IFERROR(__xludf.DUMMYFUNCTION("SPLIT(A135,"","")"),136.0)</f>
        <v>136</v>
      </c>
      <c r="C135" s="1" t="str">
        <f>IFERROR(__xludf.DUMMYFUNCTION("""COMPUTED_VALUE"""),"মোঃ শামিম রেজা")</f>
        <v>মোঃ শামিম রেজা</v>
      </c>
      <c r="D135" s="1">
        <f>IFERROR(__xludf.DUMMYFUNCTION("""COMPUTED_VALUE"""),5.70054374524E11)</f>
        <v>570054374524</v>
      </c>
      <c r="E135" s="1" t="str">
        <f>IFERROR(__xludf.DUMMYFUNCTION("""COMPUTED_VALUE"""),"মোঃ ওয়াদুদ আলী")</f>
        <v>মোঃ ওয়াদুদ আলী</v>
      </c>
      <c r="F135" s="1" t="str">
        <f>IFERROR(__xludf.DUMMYFUNCTION("""COMPUTED_VALUE"""),"মোছাঃ হামেদা খাতুন")</f>
        <v>মোছাঃ হামেদা খাতুন</v>
      </c>
      <c r="G135" s="1" t="str">
        <f>IFERROR(__xludf.DUMMYFUNCTION("""COMPUTED_VALUE"""),"২০/০৯/১৯৮৩")</f>
        <v>২০/০৯/১৯৮৩</v>
      </c>
      <c r="H135" s="1" t="str">
        <f>IFERROR(__xludf.DUMMYFUNCTION("""COMPUTED_VALUE"""),"কৃষক")</f>
        <v>কৃষক</v>
      </c>
      <c r="I135" s="1" t="str">
        <f>IFERROR(__xludf.DUMMYFUNCTION("""COMPUTED_VALUE"""),"মহিষাখোলা")</f>
        <v>মহিষাখোলা</v>
      </c>
      <c r="J135" s="1" t="str">
        <f>IFERROR(__xludf.DUMMYFUNCTION("""COMPUTED_VALUE""")," গাংনী")</f>
        <v> গাংনী</v>
      </c>
      <c r="K135" s="1" t="str">
        <f>IFERROR(__xludf.DUMMYFUNCTION("""COMPUTED_VALUE""")," মেহেরপুর")</f>
        <v> মেহেরপুর</v>
      </c>
    </row>
    <row r="136">
      <c r="A136" s="6" t="s">
        <v>2221</v>
      </c>
      <c r="B136" s="1">
        <f>IFERROR(__xludf.DUMMYFUNCTION("SPLIT(A136,"","")"),137.0)</f>
        <v>137</v>
      </c>
      <c r="C136" s="1" t="str">
        <f>IFERROR(__xludf.DUMMYFUNCTION("""COMPUTED_VALUE"""),"মোঃ আব্দুল মজিদ")</f>
        <v>মোঃ আব্দুল মজিদ</v>
      </c>
      <c r="D136" s="1">
        <f>IFERROR(__xludf.DUMMYFUNCTION("""COMPUTED_VALUE"""),5.70054374526E11)</f>
        <v>570054374526</v>
      </c>
      <c r="E136" s="1" t="str">
        <f>IFERROR(__xludf.DUMMYFUNCTION("""COMPUTED_VALUE"""),"ফরমান মন্ডল")</f>
        <v>ফরমান মন্ডল</v>
      </c>
      <c r="F136" s="1" t="str">
        <f>IFERROR(__xludf.DUMMYFUNCTION("""COMPUTED_VALUE"""),"মোছাঃ কিতারন খাতুন")</f>
        <v>মোছাঃ কিতারন খাতুন</v>
      </c>
      <c r="G136" s="1" t="str">
        <f>IFERROR(__xludf.DUMMYFUNCTION("""COMPUTED_VALUE"""),"১৯/০৬/১৯৫০")</f>
        <v>১৯/০৬/১৯৫০</v>
      </c>
      <c r="H136" s="1" t="str">
        <f>IFERROR(__xludf.DUMMYFUNCTION("""COMPUTED_VALUE"""),"শ্রমিক")</f>
        <v>শ্রমিক</v>
      </c>
      <c r="I136" s="1" t="str">
        <f>IFERROR(__xludf.DUMMYFUNCTION("""COMPUTED_VALUE"""),"মহিষাখোলা")</f>
        <v>মহিষাখোলা</v>
      </c>
      <c r="J136" s="1" t="str">
        <f>IFERROR(__xludf.DUMMYFUNCTION("""COMPUTED_VALUE""")," গাংনী")</f>
        <v> গাংনী</v>
      </c>
      <c r="K136" s="1" t="str">
        <f>IFERROR(__xludf.DUMMYFUNCTION("""COMPUTED_VALUE""")," মেহেরপুর")</f>
        <v> মেহেরপুর</v>
      </c>
    </row>
    <row r="137">
      <c r="A137" s="6" t="s">
        <v>2222</v>
      </c>
      <c r="B137" s="1">
        <f>IFERROR(__xludf.DUMMYFUNCTION("SPLIT(A137,"","")"),138.0)</f>
        <v>138</v>
      </c>
      <c r="C137" s="1" t="str">
        <f>IFERROR(__xludf.DUMMYFUNCTION("""COMPUTED_VALUE"""),"মোঃ তহিরদ্দিন")</f>
        <v>মোঃ তহিরদ্দিন</v>
      </c>
      <c r="D137" s="1">
        <f>IFERROR(__xludf.DUMMYFUNCTION("""COMPUTED_VALUE"""),5.70054374527E11)</f>
        <v>570054374527</v>
      </c>
      <c r="E137" s="1" t="str">
        <f>IFERROR(__xludf.DUMMYFUNCTION("""COMPUTED_VALUE"""),"মোঃ মহিনদ্দিন")</f>
        <v>মোঃ মহিনদ্দিন</v>
      </c>
      <c r="F137" s="1" t="str">
        <f>IFERROR(__xludf.DUMMYFUNCTION("""COMPUTED_VALUE"""),"মোছাঃ হাজেলা খাতুন")</f>
        <v>মোছাঃ হাজেলা খাতুন</v>
      </c>
      <c r="G137" s="1" t="str">
        <f>IFERROR(__xludf.DUMMYFUNCTION("""COMPUTED_VALUE"""),"১৩/০৭/১৯৬৬")</f>
        <v>১৩/০৭/১৯৬৬</v>
      </c>
      <c r="H137" s="1" t="str">
        <f>IFERROR(__xludf.DUMMYFUNCTION("""COMPUTED_VALUE"""),"দিনমজুর")</f>
        <v>দিনমজুর</v>
      </c>
      <c r="I137" s="1" t="str">
        <f>IFERROR(__xludf.DUMMYFUNCTION("""COMPUTED_VALUE"""),"মহিষাখোলা")</f>
        <v>মহিষাখোলা</v>
      </c>
      <c r="J137" s="1" t="str">
        <f>IFERROR(__xludf.DUMMYFUNCTION("""COMPUTED_VALUE""")," গাংনী")</f>
        <v> গাংনী</v>
      </c>
      <c r="K137" s="1" t="str">
        <f>IFERROR(__xludf.DUMMYFUNCTION("""COMPUTED_VALUE""")," মেহেরপুর")</f>
        <v> মেহেরপুর</v>
      </c>
    </row>
    <row r="138">
      <c r="A138" s="6" t="s">
        <v>2223</v>
      </c>
      <c r="B138" s="1">
        <f>IFERROR(__xludf.DUMMYFUNCTION("SPLIT(A138,"","")"),139.0)</f>
        <v>139</v>
      </c>
      <c r="C138" s="1" t="str">
        <f>IFERROR(__xludf.DUMMYFUNCTION("""COMPUTED_VALUE"""),"মোহাঃ শরিফদ্দিন")</f>
        <v>মোহাঃ শরিফদ্দিন</v>
      </c>
      <c r="D138" s="1">
        <f>IFERROR(__xludf.DUMMYFUNCTION("""COMPUTED_VALUE"""),5.7005437453E11)</f>
        <v>570054374530</v>
      </c>
      <c r="E138" s="1" t="str">
        <f>IFERROR(__xludf.DUMMYFUNCTION("""COMPUTED_VALUE"""),"তাহাজ উদ্দিন")</f>
        <v>তাহাজ উদ্দিন</v>
      </c>
      <c r="F138" s="1" t="str">
        <f>IFERROR(__xludf.DUMMYFUNCTION("""COMPUTED_VALUE"""),"মোছাঃ সফুরা খাতুন")</f>
        <v>মোছাঃ সফুরা খাতুন</v>
      </c>
      <c r="G138" s="1" t="str">
        <f>IFERROR(__xludf.DUMMYFUNCTION("""COMPUTED_VALUE"""),"২৫/০৬/১৯৬৫")</f>
        <v>২৫/০৬/১৯৬৫</v>
      </c>
      <c r="H138" s="1" t="str">
        <f>IFERROR(__xludf.DUMMYFUNCTION("""COMPUTED_VALUE"""),"কৃষক")</f>
        <v>কৃষক</v>
      </c>
      <c r="I138" s="1" t="str">
        <f>IFERROR(__xludf.DUMMYFUNCTION("""COMPUTED_VALUE"""),"মহিষাখোলা")</f>
        <v>মহিষাখোলা</v>
      </c>
      <c r="J138" s="1" t="str">
        <f>IFERROR(__xludf.DUMMYFUNCTION("""COMPUTED_VALUE""")," গাংনী")</f>
        <v> গাংনী</v>
      </c>
      <c r="K138" s="1" t="str">
        <f>IFERROR(__xludf.DUMMYFUNCTION("""COMPUTED_VALUE""")," মেহেরপুর")</f>
        <v> মেহেরপুর</v>
      </c>
    </row>
    <row r="139">
      <c r="A139" s="6" t="s">
        <v>2224</v>
      </c>
      <c r="B139" s="1">
        <f>IFERROR(__xludf.DUMMYFUNCTION("SPLIT(A139,"","")"),140.0)</f>
        <v>140</v>
      </c>
      <c r="C139" s="1" t="str">
        <f>IFERROR(__xludf.DUMMYFUNCTION("""COMPUTED_VALUE"""),"মোঃ ফজলুল হক")</f>
        <v>মোঃ ফজলুল হক</v>
      </c>
      <c r="D139" s="1">
        <f>IFERROR(__xludf.DUMMYFUNCTION("""COMPUTED_VALUE"""),5.70054374533E11)</f>
        <v>570054374533</v>
      </c>
      <c r="E139" s="1" t="str">
        <f>IFERROR(__xludf.DUMMYFUNCTION("""COMPUTED_VALUE"""),"মোঃ ফয়েজ উদ্দীন")</f>
        <v>মোঃ ফয়েজ উদ্দীন</v>
      </c>
      <c r="F139" s="1" t="str">
        <f>IFERROR(__xludf.DUMMYFUNCTION("""COMPUTED_VALUE"""),"মোছাঃ রেজিয়া খাতুন")</f>
        <v>মোছাঃ রেজিয়া খাতুন</v>
      </c>
      <c r="G139" s="1" t="str">
        <f>IFERROR(__xludf.DUMMYFUNCTION("""COMPUTED_VALUE"""),"২৩/০৯/১৯৬২")</f>
        <v>২৩/০৯/১৯৬২</v>
      </c>
      <c r="H139" s="1" t="str">
        <f>IFERROR(__xludf.DUMMYFUNCTION("""COMPUTED_VALUE"""),"কৃষক")</f>
        <v>কৃষক</v>
      </c>
      <c r="I139" s="1" t="str">
        <f>IFERROR(__xludf.DUMMYFUNCTION("""COMPUTED_VALUE"""),"মহিষাখোলা")</f>
        <v>মহিষাখোলা</v>
      </c>
      <c r="J139" s="1" t="str">
        <f>IFERROR(__xludf.DUMMYFUNCTION("""COMPUTED_VALUE""")," গাংনী")</f>
        <v> গাংনী</v>
      </c>
      <c r="K139" s="1" t="str">
        <f>IFERROR(__xludf.DUMMYFUNCTION("""COMPUTED_VALUE""")," মেহেরপুর")</f>
        <v> মেহেরপুর</v>
      </c>
    </row>
    <row r="140">
      <c r="A140" s="6" t="s">
        <v>2225</v>
      </c>
      <c r="B140" s="1">
        <f>IFERROR(__xludf.DUMMYFUNCTION("SPLIT(A140,"","")"),141.0)</f>
        <v>141</v>
      </c>
      <c r="C140" s="1" t="str">
        <f>IFERROR(__xludf.DUMMYFUNCTION("""COMPUTED_VALUE"""),"মোঃ মুনছুর আলী")</f>
        <v>মোঃ মুনছুর আলী</v>
      </c>
      <c r="D140" s="1">
        <f>IFERROR(__xludf.DUMMYFUNCTION("""COMPUTED_VALUE"""),5.70054374534E11)</f>
        <v>570054374534</v>
      </c>
      <c r="E140" s="1" t="str">
        <f>IFERROR(__xludf.DUMMYFUNCTION("""COMPUTED_VALUE"""),"রনজিৎ বিশ্বাস")</f>
        <v>রনজিৎ বিশ্বাস</v>
      </c>
      <c r="F140" s="1" t="str">
        <f>IFERROR(__xludf.DUMMYFUNCTION("""COMPUTED_VALUE"""),"খুকি বিবি")</f>
        <v>খুকি বিবি</v>
      </c>
      <c r="G140" s="1" t="str">
        <f>IFERROR(__xludf.DUMMYFUNCTION("""COMPUTED_VALUE"""),"০৫/১০/১৯৪২")</f>
        <v>০৫/১০/১৯৪২</v>
      </c>
      <c r="H140" s="1" t="str">
        <f>IFERROR(__xludf.DUMMYFUNCTION("""COMPUTED_VALUE"""),"কৃষক")</f>
        <v>কৃষক</v>
      </c>
      <c r="I140" s="1" t="str">
        <f>IFERROR(__xludf.DUMMYFUNCTION("""COMPUTED_VALUE"""),"ধানখোলা")</f>
        <v>ধানখোলা</v>
      </c>
      <c r="J140" s="1" t="str">
        <f>IFERROR(__xludf.DUMMYFUNCTION("""COMPUTED_VALUE""")," গাংনী")</f>
        <v> গাংনী</v>
      </c>
      <c r="K140" s="1" t="str">
        <f>IFERROR(__xludf.DUMMYFUNCTION("""COMPUTED_VALUE""")," মেহেরপুর")</f>
        <v> মেহেরপুর</v>
      </c>
    </row>
    <row r="141">
      <c r="A141" s="6" t="s">
        <v>2226</v>
      </c>
      <c r="B141" s="1">
        <f>IFERROR(__xludf.DUMMYFUNCTION("SPLIT(A141,"","")"),142.0)</f>
        <v>142</v>
      </c>
      <c r="C141" s="1" t="str">
        <f>IFERROR(__xludf.DUMMYFUNCTION("""COMPUTED_VALUE"""),"মোঃ ফরজ আলী")</f>
        <v>মোঃ ফরজ আলী</v>
      </c>
      <c r="D141" s="1">
        <f>IFERROR(__xludf.DUMMYFUNCTION("""COMPUTED_VALUE"""),5.70054374537E11)</f>
        <v>570054374537</v>
      </c>
      <c r="E141" s="1" t="str">
        <f>IFERROR(__xludf.DUMMYFUNCTION("""COMPUTED_VALUE"""),"আত্তাব আলী মন্ডল")</f>
        <v>আত্তাব আলী মন্ডল</v>
      </c>
      <c r="F141" s="1" t="str">
        <f>IFERROR(__xludf.DUMMYFUNCTION("""COMPUTED_VALUE"""),"মোছাঃ হামেদা খাতুন")</f>
        <v>মোছাঃ হামেদা খাতুন</v>
      </c>
      <c r="G141" s="1" t="str">
        <f>IFERROR(__xludf.DUMMYFUNCTION("""COMPUTED_VALUE"""),"১৫/০৫/১৯৮২")</f>
        <v>১৫/০৫/১৯৮২</v>
      </c>
      <c r="H141" s="1" t="str">
        <f>IFERROR(__xludf.DUMMYFUNCTION("""COMPUTED_VALUE"""),"ব্যবসা")</f>
        <v>ব্যবসা</v>
      </c>
      <c r="I141" s="1" t="str">
        <f>IFERROR(__xludf.DUMMYFUNCTION("""COMPUTED_VALUE"""),"মহিষাখোলা")</f>
        <v>মহিষাখোলা</v>
      </c>
      <c r="J141" s="1" t="str">
        <f>IFERROR(__xludf.DUMMYFUNCTION("""COMPUTED_VALUE""")," গাংনী")</f>
        <v> গাংনী</v>
      </c>
      <c r="K141" s="1" t="str">
        <f>IFERROR(__xludf.DUMMYFUNCTION("""COMPUTED_VALUE""")," মেহেরপুর")</f>
        <v> মেহেরপুর</v>
      </c>
    </row>
    <row r="142">
      <c r="A142" s="6" t="s">
        <v>2227</v>
      </c>
      <c r="B142" s="1">
        <f>IFERROR(__xludf.DUMMYFUNCTION("SPLIT(A142,"","")"),143.0)</f>
        <v>143</v>
      </c>
      <c r="C142" s="1" t="str">
        <f>IFERROR(__xludf.DUMMYFUNCTION("""COMPUTED_VALUE"""),"মোঃ আঃ মজিদ")</f>
        <v>মোঃ আঃ মজিদ</v>
      </c>
      <c r="D142" s="1">
        <f>IFERROR(__xludf.DUMMYFUNCTION("""COMPUTED_VALUE"""),5.7005437454E10)</f>
        <v>57005437454</v>
      </c>
      <c r="E142" s="1" t="str">
        <f>IFERROR(__xludf.DUMMYFUNCTION("""COMPUTED_VALUE"""),"মোঃ মওলা বকস")</f>
        <v>মোঃ মওলা বকস</v>
      </c>
      <c r="F142" s="1" t="str">
        <f>IFERROR(__xludf.DUMMYFUNCTION("""COMPUTED_VALUE"""),"সুরাজ বিবি")</f>
        <v>সুরাজ বিবি</v>
      </c>
      <c r="G142" s="1" t="str">
        <f>IFERROR(__xludf.DUMMYFUNCTION("""COMPUTED_VALUE"""),"১০/০২/১৯৬৪")</f>
        <v>১০/০২/১৯৬৪</v>
      </c>
      <c r="H142" s="1" t="str">
        <f>IFERROR(__xludf.DUMMYFUNCTION("""COMPUTED_VALUE"""),"শ্রমিক")</f>
        <v>শ্রমিক</v>
      </c>
      <c r="I142" s="1" t="str">
        <f>IFERROR(__xludf.DUMMYFUNCTION("""COMPUTED_VALUE"""),"মহিষাখোলা")</f>
        <v>মহিষাখোলা</v>
      </c>
      <c r="J142" s="1" t="str">
        <f>IFERROR(__xludf.DUMMYFUNCTION("""COMPUTED_VALUE""")," গাংনী")</f>
        <v> গাংনী</v>
      </c>
      <c r="K142" s="1" t="str">
        <f>IFERROR(__xludf.DUMMYFUNCTION("""COMPUTED_VALUE""")," মেহেরপুর")</f>
        <v> মেহেরপুর</v>
      </c>
    </row>
    <row r="143">
      <c r="A143" s="6" t="s">
        <v>2228</v>
      </c>
      <c r="B143" s="1">
        <f>IFERROR(__xludf.DUMMYFUNCTION("SPLIT(A143,"","")"),144.0)</f>
        <v>144</v>
      </c>
      <c r="C143" s="1" t="str">
        <f>IFERROR(__xludf.DUMMYFUNCTION("""COMPUTED_VALUE"""),"মোঃ লুৎফর রহমান")</f>
        <v>মোঃ লুৎফর রহমান</v>
      </c>
      <c r="D143" s="1">
        <f>IFERROR(__xludf.DUMMYFUNCTION("""COMPUTED_VALUE"""),5.7005437454E10)</f>
        <v>57005437454</v>
      </c>
      <c r="E143" s="1" t="str">
        <f>IFERROR(__xludf.DUMMYFUNCTION("""COMPUTED_VALUE"""),"তুষ্ট মন্ডল")</f>
        <v>তুষ্ট মন্ডল</v>
      </c>
      <c r="F143" s="1" t="str">
        <f>IFERROR(__xludf.DUMMYFUNCTION("""COMPUTED_VALUE"""),"নূরজাহান")</f>
        <v>নূরজাহান</v>
      </c>
      <c r="G143" s="1" t="str">
        <f>IFERROR(__xludf.DUMMYFUNCTION("""COMPUTED_VALUE"""),"২৪/০৩/১৯৫২")</f>
        <v>২৪/০৩/১৯৫২</v>
      </c>
      <c r="H143" s="1" t="str">
        <f>IFERROR(__xludf.DUMMYFUNCTION("""COMPUTED_VALUE"""),"শ্রমিক")</f>
        <v>শ্রমিক</v>
      </c>
      <c r="I143" s="1" t="str">
        <f>IFERROR(__xludf.DUMMYFUNCTION("""COMPUTED_VALUE"""),"মহিষাখোলা")</f>
        <v>মহিষাখোলা</v>
      </c>
      <c r="J143" s="1" t="str">
        <f>IFERROR(__xludf.DUMMYFUNCTION("""COMPUTED_VALUE""")," গাংনী")</f>
        <v> গাংনী</v>
      </c>
      <c r="K143" s="1" t="str">
        <f>IFERROR(__xludf.DUMMYFUNCTION("""COMPUTED_VALUE""")," মেহেরপুর")</f>
        <v> মেহেরপুর</v>
      </c>
    </row>
    <row r="144">
      <c r="A144" s="6" t="s">
        <v>2229</v>
      </c>
      <c r="B144" s="1">
        <f>IFERROR(__xludf.DUMMYFUNCTION("SPLIT(A144,"","")"),145.0)</f>
        <v>145</v>
      </c>
      <c r="C144" s="1" t="str">
        <f>IFERROR(__xludf.DUMMYFUNCTION("""COMPUTED_VALUE"""),"মোঃ পলাশ আলী")</f>
        <v>মোঃ পলাশ আলী</v>
      </c>
      <c r="D144" s="1">
        <f>IFERROR(__xludf.DUMMYFUNCTION("""COMPUTED_VALUE"""),5.7005437454E10)</f>
        <v>57005437454</v>
      </c>
      <c r="E144" s="1" t="str">
        <f>IFERROR(__xludf.DUMMYFUNCTION("""COMPUTED_VALUE"""),"মোঃ রবগুল আলী")</f>
        <v>মোঃ রবগুল আলী</v>
      </c>
      <c r="F144" s="1" t="str">
        <f>IFERROR(__xludf.DUMMYFUNCTION("""COMPUTED_VALUE"""),"রহিদা খাতুন")</f>
        <v>রহিদা খাতুন</v>
      </c>
      <c r="G144" s="1" t="str">
        <f>IFERROR(__xludf.DUMMYFUNCTION("""COMPUTED_VALUE"""),"১০/০৭/১৯৮৬")</f>
        <v>১০/০৭/১৯৮৬</v>
      </c>
      <c r="H144" s="1" t="str">
        <f>IFERROR(__xludf.DUMMYFUNCTION("""COMPUTED_VALUE"""),"শ্রমিক")</f>
        <v>শ্রমিক</v>
      </c>
      <c r="I144" s="1" t="str">
        <f>IFERROR(__xludf.DUMMYFUNCTION("""COMPUTED_VALUE"""),"মহিষাখোলা")</f>
        <v>মহিষাখোলা</v>
      </c>
      <c r="J144" s="1" t="str">
        <f>IFERROR(__xludf.DUMMYFUNCTION("""COMPUTED_VALUE""")," গাংনী")</f>
        <v> গাংনী</v>
      </c>
      <c r="K144" s="1" t="str">
        <f>IFERROR(__xludf.DUMMYFUNCTION("""COMPUTED_VALUE""")," মেহেরপুর")</f>
        <v> মেহেরপুর</v>
      </c>
    </row>
    <row r="145">
      <c r="A145" s="6" t="s">
        <v>2230</v>
      </c>
      <c r="B145" s="1">
        <f>IFERROR(__xludf.DUMMYFUNCTION("SPLIT(A145,"","")"),146.0)</f>
        <v>146</v>
      </c>
      <c r="C145" s="1" t="str">
        <f>IFERROR(__xludf.DUMMYFUNCTION("""COMPUTED_VALUE"""),"মোঃ রেজাউল হক")</f>
        <v>মোঃ রেজাউল হক</v>
      </c>
      <c r="D145" s="1">
        <f>IFERROR(__xludf.DUMMYFUNCTION("""COMPUTED_VALUE"""),5.7005437454E10)</f>
        <v>57005437454</v>
      </c>
      <c r="E145" s="1" t="str">
        <f>IFERROR(__xludf.DUMMYFUNCTION("""COMPUTED_VALUE"""),"মেহের আলী")</f>
        <v>মেহের আলী</v>
      </c>
      <c r="F145" s="1" t="str">
        <f>IFERROR(__xludf.DUMMYFUNCTION("""COMPUTED_VALUE"""),"সারা খাতুন")</f>
        <v>সারা খাতুন</v>
      </c>
      <c r="G145" s="1" t="str">
        <f>IFERROR(__xludf.DUMMYFUNCTION("""COMPUTED_VALUE"""),"১৭/০৬/১৯৭১")</f>
        <v>১৭/০৬/১৯৭১</v>
      </c>
      <c r="H145" s="1" t="str">
        <f>IFERROR(__xludf.DUMMYFUNCTION("""COMPUTED_VALUE"""),"দিনমজুর")</f>
        <v>দিনমজুর</v>
      </c>
      <c r="I145" s="1" t="str">
        <f>IFERROR(__xludf.DUMMYFUNCTION("""COMPUTED_VALUE"""),"মহিষাখোলা")</f>
        <v>মহিষাখোলা</v>
      </c>
      <c r="J145" s="1" t="str">
        <f>IFERROR(__xludf.DUMMYFUNCTION("""COMPUTED_VALUE""")," গাংনী")</f>
        <v> গাংনী</v>
      </c>
      <c r="K145" s="1" t="str">
        <f>IFERROR(__xludf.DUMMYFUNCTION("""COMPUTED_VALUE""")," মেহেরপুর")</f>
        <v> মেহেরপুর</v>
      </c>
    </row>
    <row r="146">
      <c r="A146" s="6" t="s">
        <v>2231</v>
      </c>
      <c r="B146" s="1">
        <f>IFERROR(__xludf.DUMMYFUNCTION("SPLIT(A146,"","")"),147.0)</f>
        <v>147</v>
      </c>
      <c r="C146" s="1" t="str">
        <f>IFERROR(__xludf.DUMMYFUNCTION("""COMPUTED_VALUE"""),"মোঃ জাহিদুল ইসলাম")</f>
        <v>মোঃ জাহিদুল ইসলাম</v>
      </c>
      <c r="D146" s="1">
        <f>IFERROR(__xludf.DUMMYFUNCTION("""COMPUTED_VALUE"""),5.7005437454E10)</f>
        <v>57005437454</v>
      </c>
      <c r="E146" s="1" t="str">
        <f>IFERROR(__xludf.DUMMYFUNCTION("""COMPUTED_VALUE"""),"মোঃ ফজলুল হক")</f>
        <v>মোঃ ফজলুল হক</v>
      </c>
      <c r="F146" s="1" t="str">
        <f>IFERROR(__xludf.DUMMYFUNCTION("""COMPUTED_VALUE"""),"মোছাঃ কহিনুর খাতুন")</f>
        <v>মোছাঃ কহিনুর খাতুন</v>
      </c>
      <c r="G146" s="1" t="str">
        <f>IFERROR(__xludf.DUMMYFUNCTION("""COMPUTED_VALUE"""),"১৩/০৯/১৯৮৮")</f>
        <v>১৩/০৯/১৯৮৮</v>
      </c>
      <c r="H146" s="1" t="str">
        <f>IFERROR(__xludf.DUMMYFUNCTION("""COMPUTED_VALUE"""),"দিনমজুর")</f>
        <v>দিনমজুর</v>
      </c>
      <c r="I146" s="1" t="str">
        <f>IFERROR(__xludf.DUMMYFUNCTION("""COMPUTED_VALUE"""),"মহিষাখোলা")</f>
        <v>মহিষাখোলা</v>
      </c>
      <c r="J146" s="1" t="str">
        <f>IFERROR(__xludf.DUMMYFUNCTION("""COMPUTED_VALUE""")," গাংনী")</f>
        <v> গাংনী</v>
      </c>
      <c r="K146" s="1" t="str">
        <f>IFERROR(__xludf.DUMMYFUNCTION("""COMPUTED_VALUE""")," মেহেরপুর")</f>
        <v> মেহেরপুর</v>
      </c>
    </row>
    <row r="147">
      <c r="A147" s="6" t="s">
        <v>2232</v>
      </c>
      <c r="B147" s="1">
        <f>IFERROR(__xludf.DUMMYFUNCTION("SPLIT(A147,"","")"),148.0)</f>
        <v>148</v>
      </c>
      <c r="C147" s="1" t="str">
        <f>IFERROR(__xludf.DUMMYFUNCTION("""COMPUTED_VALUE"""),"মোঃ মোক্তার আলী")</f>
        <v>মোঃ মোক্তার আলী</v>
      </c>
      <c r="D147" s="1">
        <f>IFERROR(__xludf.DUMMYFUNCTION("""COMPUTED_VALUE"""),5.7005437454E10)</f>
        <v>57005437454</v>
      </c>
      <c r="E147" s="1" t="str">
        <f>IFERROR(__xludf.DUMMYFUNCTION("""COMPUTED_VALUE"""),"রবগুল মন্ডল")</f>
        <v>রবগুল মন্ডল</v>
      </c>
      <c r="F147" s="1" t="str">
        <f>IFERROR(__xludf.DUMMYFUNCTION("""COMPUTED_VALUE"""),"জেবন নেছা")</f>
        <v>জেবন নেছা</v>
      </c>
      <c r="G147" s="1" t="str">
        <f>IFERROR(__xludf.DUMMYFUNCTION("""COMPUTED_VALUE"""),"১৩/১০/১৯৫৫")</f>
        <v>১৩/১০/১৯৫৫</v>
      </c>
      <c r="H147" s="1" t="str">
        <f>IFERROR(__xludf.DUMMYFUNCTION("""COMPUTED_VALUE"""),"কৃষক")</f>
        <v>কৃষক</v>
      </c>
      <c r="I147" s="1" t="str">
        <f>IFERROR(__xludf.DUMMYFUNCTION("""COMPUTED_VALUE"""),"মহিষাখোলা")</f>
        <v>মহিষাখোলা</v>
      </c>
      <c r="J147" s="1" t="str">
        <f>IFERROR(__xludf.DUMMYFUNCTION("""COMPUTED_VALUE""")," গাংনী")</f>
        <v> গাংনী</v>
      </c>
      <c r="K147" s="1" t="str">
        <f>IFERROR(__xludf.DUMMYFUNCTION("""COMPUTED_VALUE""")," মেহেরপুর")</f>
        <v> মেহেরপুর</v>
      </c>
    </row>
    <row r="148">
      <c r="A148" s="6" t="s">
        <v>2233</v>
      </c>
      <c r="B148" s="1">
        <f>IFERROR(__xludf.DUMMYFUNCTION("SPLIT(A148,"","")"),149.0)</f>
        <v>149</v>
      </c>
      <c r="C148" s="1" t="str">
        <f>IFERROR(__xludf.DUMMYFUNCTION("""COMPUTED_VALUE"""),"মোঃ নাসির উদ্দীন")</f>
        <v>মোঃ নাসির উদ্দীন</v>
      </c>
      <c r="D148" s="1">
        <f>IFERROR(__xludf.DUMMYFUNCTION("""COMPUTED_VALUE"""),5.7005437455E10)</f>
        <v>57005437455</v>
      </c>
      <c r="E148" s="1" t="str">
        <f>IFERROR(__xludf.DUMMYFUNCTION("""COMPUTED_VALUE"""),"মোঃ আব্দুল খালেক")</f>
        <v>মোঃ আব্দুল খালেক</v>
      </c>
      <c r="F148" s="1" t="str">
        <f>IFERROR(__xludf.DUMMYFUNCTION("""COMPUTED_VALUE"""),"মোছাঃ সাহিদা খাতুন")</f>
        <v>মোছাঃ সাহিদা খাতুন</v>
      </c>
      <c r="G148" s="1" t="str">
        <f>IFERROR(__xludf.DUMMYFUNCTION("""COMPUTED_VALUE"""),"১৩/০৮/১৯৭১")</f>
        <v>১৩/০৮/১৯৭১</v>
      </c>
      <c r="H148" s="1" t="str">
        <f>IFERROR(__xludf.DUMMYFUNCTION("""COMPUTED_VALUE"""),"কৃষক")</f>
        <v>কৃষক</v>
      </c>
      <c r="I148" s="1" t="str">
        <f>IFERROR(__xludf.DUMMYFUNCTION("""COMPUTED_VALUE"""),"মহিষাখোলা")</f>
        <v>মহিষাখোলা</v>
      </c>
      <c r="J148" s="1" t="str">
        <f>IFERROR(__xludf.DUMMYFUNCTION("""COMPUTED_VALUE""")," গাংনী")</f>
        <v> গাংনী</v>
      </c>
      <c r="K148" s="1" t="str">
        <f>IFERROR(__xludf.DUMMYFUNCTION("""COMPUTED_VALUE""")," মেহেরপুর")</f>
        <v> মেহেরপুর</v>
      </c>
    </row>
    <row r="149">
      <c r="A149" s="6" t="s">
        <v>2234</v>
      </c>
      <c r="B149" s="1">
        <f>IFERROR(__xludf.DUMMYFUNCTION("SPLIT(A149,"","")"),150.0)</f>
        <v>150</v>
      </c>
      <c r="C149" s="1" t="str">
        <f>IFERROR(__xludf.DUMMYFUNCTION("""COMPUTED_VALUE"""),"মোঃ সহিদুল ইসলাম")</f>
        <v>মোঃ সহিদুল ইসলাম</v>
      </c>
      <c r="D149" s="1">
        <f>IFERROR(__xludf.DUMMYFUNCTION("""COMPUTED_VALUE"""),5.7005437455E10)</f>
        <v>57005437455</v>
      </c>
      <c r="E149" s="1" t="str">
        <f>IFERROR(__xludf.DUMMYFUNCTION("""COMPUTED_VALUE"""),"মোঃ ওমর আলী")</f>
        <v>মোঃ ওমর আলী</v>
      </c>
      <c r="F149" s="1" t="str">
        <f>IFERROR(__xludf.DUMMYFUNCTION("""COMPUTED_VALUE"""),"মোছাঃ জাহানারা খাতুন")</f>
        <v>মোছাঃ জাহানারা খাতুন</v>
      </c>
      <c r="G149" s="1" t="str">
        <f>IFERROR(__xludf.DUMMYFUNCTION("""COMPUTED_VALUE"""),"১৫/০৬/১৯৮৭")</f>
        <v>১৫/০৬/১৯৮৭</v>
      </c>
      <c r="H149" s="1" t="str">
        <f>IFERROR(__xludf.DUMMYFUNCTION("""COMPUTED_VALUE"""),"দিনমজুর")</f>
        <v>দিনমজুর</v>
      </c>
      <c r="I149" s="1" t="str">
        <f>IFERROR(__xludf.DUMMYFUNCTION("""COMPUTED_VALUE"""),"মহিষাখোলা")</f>
        <v>মহিষাখোলা</v>
      </c>
      <c r="J149" s="1" t="str">
        <f>IFERROR(__xludf.DUMMYFUNCTION("""COMPUTED_VALUE""")," গাংনী")</f>
        <v> গাংনী</v>
      </c>
      <c r="K149" s="1" t="str">
        <f>IFERROR(__xludf.DUMMYFUNCTION("""COMPUTED_VALUE""")," মেহেরপুর")</f>
        <v> মেহেরপুর</v>
      </c>
    </row>
    <row r="150">
      <c r="A150" s="6" t="s">
        <v>2235</v>
      </c>
      <c r="B150" s="1">
        <f>IFERROR(__xludf.DUMMYFUNCTION("SPLIT(A150,"","")"),151.0)</f>
        <v>151</v>
      </c>
      <c r="C150" s="1" t="str">
        <f>IFERROR(__xludf.DUMMYFUNCTION("""COMPUTED_VALUE"""),"মোঃ ফারুক আহমেদ")</f>
        <v>মোঃ ফারুক আহমেদ</v>
      </c>
      <c r="D150" s="1">
        <f>IFERROR(__xludf.DUMMYFUNCTION("""COMPUTED_VALUE"""),5.7005437455E10)</f>
        <v>57005437455</v>
      </c>
      <c r="E150" s="1" t="str">
        <f>IFERROR(__xludf.DUMMYFUNCTION("""COMPUTED_VALUE"""),"মোঃ মোয়াজ্জেম হোসেন")</f>
        <v>মোঃ মোয়াজ্জেম হোসেন</v>
      </c>
      <c r="F150" s="1" t="str">
        <f>IFERROR(__xludf.DUMMYFUNCTION("""COMPUTED_VALUE"""),"মোছাঃ রাহিমা খাতুন")</f>
        <v>মোছাঃ রাহিমা খাতুন</v>
      </c>
      <c r="G150" s="1" t="str">
        <f>IFERROR(__xludf.DUMMYFUNCTION("""COMPUTED_VALUE"""),"১৪/০৮/১৯৮০")</f>
        <v>১৪/০৮/১৯৮০</v>
      </c>
      <c r="H150" s="1" t="str">
        <f>IFERROR(__xludf.DUMMYFUNCTION("""COMPUTED_VALUE"""),"কৃষক")</f>
        <v>কৃষক</v>
      </c>
      <c r="I150" s="1" t="str">
        <f>IFERROR(__xludf.DUMMYFUNCTION("""COMPUTED_VALUE"""),"মহিষাখোলা")</f>
        <v>মহিষাখোলা</v>
      </c>
      <c r="J150" s="1" t="str">
        <f>IFERROR(__xludf.DUMMYFUNCTION("""COMPUTED_VALUE""")," গাংনী")</f>
        <v> গাংনী</v>
      </c>
      <c r="K150" s="1" t="str">
        <f>IFERROR(__xludf.DUMMYFUNCTION("""COMPUTED_VALUE""")," মেহেরপুর")</f>
        <v> মেহেরপুর</v>
      </c>
    </row>
    <row r="151">
      <c r="A151" s="6" t="s">
        <v>2236</v>
      </c>
      <c r="B151" s="1">
        <f>IFERROR(__xludf.DUMMYFUNCTION("SPLIT(A151,"","")"),152.0)</f>
        <v>152</v>
      </c>
      <c r="C151" s="1" t="str">
        <f>IFERROR(__xludf.DUMMYFUNCTION("""COMPUTED_VALUE"""),"মোঃ নজরুল ইসলাম")</f>
        <v>মোঃ নজরুল ইসলাম</v>
      </c>
      <c r="D151" s="1">
        <f>IFERROR(__xludf.DUMMYFUNCTION("""COMPUTED_VALUE"""),5.7005437455E10)</f>
        <v>57005437455</v>
      </c>
      <c r="E151" s="1" t="str">
        <f>IFERROR(__xludf.DUMMYFUNCTION("""COMPUTED_VALUE"""),"মোঃ জাদু মন্ডল")</f>
        <v>মোঃ জাদু মন্ডল</v>
      </c>
      <c r="F151" s="1" t="str">
        <f>IFERROR(__xludf.DUMMYFUNCTION("""COMPUTED_VALUE"""),"মোছাঃ মজিরন খাতুন")</f>
        <v>মোছাঃ মজিরন খাতুন</v>
      </c>
      <c r="G151" s="1" t="str">
        <f>IFERROR(__xludf.DUMMYFUNCTION("""COMPUTED_VALUE"""),"১০/১১/১৯৬৭")</f>
        <v>১০/১১/১৯৬৭</v>
      </c>
      <c r="H151" s="1" t="str">
        <f>IFERROR(__xludf.DUMMYFUNCTION("""COMPUTED_VALUE"""),"কৃষক")</f>
        <v>কৃষক</v>
      </c>
      <c r="I151" s="1" t="str">
        <f>IFERROR(__xludf.DUMMYFUNCTION("""COMPUTED_VALUE"""),"মহিষাখোলা")</f>
        <v>মহিষাখোলা</v>
      </c>
      <c r="J151" s="1" t="str">
        <f>IFERROR(__xludf.DUMMYFUNCTION("""COMPUTED_VALUE""")," গাংনী")</f>
        <v> গাংনী</v>
      </c>
      <c r="K151" s="1" t="str">
        <f>IFERROR(__xludf.DUMMYFUNCTION("""COMPUTED_VALUE""")," মেহেরপুর")</f>
        <v> মেহেরপুর</v>
      </c>
    </row>
    <row r="152">
      <c r="A152" s="6" t="s">
        <v>2237</v>
      </c>
      <c r="B152" s="1">
        <f>IFERROR(__xludf.DUMMYFUNCTION("SPLIT(A152,"","")"),153.0)</f>
        <v>153</v>
      </c>
      <c r="C152" s="1" t="str">
        <f>IFERROR(__xludf.DUMMYFUNCTION("""COMPUTED_VALUE"""),"মোঃ হাসানুজ্জামান উজ্জ্বল")</f>
        <v>মোঃ হাসানুজ্জামান উজ্জ্বল</v>
      </c>
      <c r="D152" s="1">
        <f>IFERROR(__xludf.DUMMYFUNCTION("""COMPUTED_VALUE"""),5.7005437455E10)</f>
        <v>57005437455</v>
      </c>
      <c r="E152" s="1" t="str">
        <f>IFERROR(__xludf.DUMMYFUNCTION("""COMPUTED_VALUE"""),"মোঃ আবু বকর সিদ্দিক")</f>
        <v>মোঃ আবু বকর সিদ্দিক</v>
      </c>
      <c r="F152" s="1" t="str">
        <f>IFERROR(__xludf.DUMMYFUNCTION("""COMPUTED_VALUE"""),"মোছাঃ রওশনারা বেগম")</f>
        <v>মোছাঃ রওশনারা বেগম</v>
      </c>
      <c r="G152" s="1" t="str">
        <f>IFERROR(__xludf.DUMMYFUNCTION("""COMPUTED_VALUE"""),"৩১/১২/১৯৮৭")</f>
        <v>৩১/১২/১৯৮৭</v>
      </c>
      <c r="H152" s="1" t="str">
        <f>IFERROR(__xludf.DUMMYFUNCTION("""COMPUTED_VALUE"""),"কৃষক")</f>
        <v>কৃষক</v>
      </c>
      <c r="I152" s="1" t="str">
        <f>IFERROR(__xludf.DUMMYFUNCTION("""COMPUTED_VALUE"""),"মহিষাখোলা")</f>
        <v>মহিষাখোলা</v>
      </c>
      <c r="J152" s="1" t="str">
        <f>IFERROR(__xludf.DUMMYFUNCTION("""COMPUTED_VALUE""")," গাংনী")</f>
        <v> গাংনী</v>
      </c>
      <c r="K152" s="1" t="str">
        <f>IFERROR(__xludf.DUMMYFUNCTION("""COMPUTED_VALUE""")," মেহেরপুর")</f>
        <v> মেহেরপুর</v>
      </c>
    </row>
    <row r="153">
      <c r="A153" s="6" t="s">
        <v>2238</v>
      </c>
      <c r="B153" s="1">
        <f>IFERROR(__xludf.DUMMYFUNCTION("SPLIT(A153,"","")"),154.0)</f>
        <v>154</v>
      </c>
      <c r="C153" s="1" t="str">
        <f>IFERROR(__xludf.DUMMYFUNCTION("""COMPUTED_VALUE"""),"মোঃ আরিফুল ইসলাম")</f>
        <v>মোঃ আরিফুল ইসলাম</v>
      </c>
      <c r="D153" s="1">
        <f>IFERROR(__xludf.DUMMYFUNCTION("""COMPUTED_VALUE"""),5.7005437455E10)</f>
        <v>57005437455</v>
      </c>
      <c r="E153" s="1" t="str">
        <f>IFERROR(__xludf.DUMMYFUNCTION("""COMPUTED_VALUE"""),"মোঃ রুহুল আমীন")</f>
        <v>মোঃ রুহুল আমীন</v>
      </c>
      <c r="F153" s="1" t="str">
        <f>IFERROR(__xludf.DUMMYFUNCTION("""COMPUTED_VALUE"""),"সাহেদা খাতুন")</f>
        <v>সাহেদা খাতুন</v>
      </c>
      <c r="G153" s="1" t="str">
        <f>IFERROR(__xludf.DUMMYFUNCTION("""COMPUTED_VALUE"""),"১৫/০২/১৯৮১")</f>
        <v>১৫/০২/১৯৮১</v>
      </c>
      <c r="H153" s="1" t="str">
        <f>IFERROR(__xludf.DUMMYFUNCTION("""COMPUTED_VALUE"""),"শ্রমিক")</f>
        <v>শ্রমিক</v>
      </c>
      <c r="I153" s="1" t="str">
        <f>IFERROR(__xludf.DUMMYFUNCTION("""COMPUTED_VALUE"""),"মহিষাখোলা")</f>
        <v>মহিষাখোলা</v>
      </c>
      <c r="J153" s="1" t="str">
        <f>IFERROR(__xludf.DUMMYFUNCTION("""COMPUTED_VALUE""")," গাংনী")</f>
        <v> গাংনী</v>
      </c>
      <c r="K153" s="1" t="str">
        <f>IFERROR(__xludf.DUMMYFUNCTION("""COMPUTED_VALUE""")," মেহেরপুর")</f>
        <v> মেহেরপুর</v>
      </c>
    </row>
    <row r="154">
      <c r="A154" s="6" t="s">
        <v>2239</v>
      </c>
      <c r="B154" s="1">
        <f>IFERROR(__xludf.DUMMYFUNCTION("SPLIT(A154,"","")"),155.0)</f>
        <v>155</v>
      </c>
      <c r="C154" s="1" t="str">
        <f>IFERROR(__xludf.DUMMYFUNCTION("""COMPUTED_VALUE"""),"মোঃ জামিরুল ইসলাম")</f>
        <v>মোঃ জামিরুল ইসলাম</v>
      </c>
      <c r="D154" s="1">
        <f>IFERROR(__xludf.DUMMYFUNCTION("""COMPUTED_VALUE"""),5.7005437456E10)</f>
        <v>57005437456</v>
      </c>
      <c r="E154" s="1" t="str">
        <f>IFERROR(__xludf.DUMMYFUNCTION("""COMPUTED_VALUE"""),"মোঃ জামাত আলী")</f>
        <v>মোঃ জামাত আলী</v>
      </c>
      <c r="F154" s="1" t="str">
        <f>IFERROR(__xludf.DUMMYFUNCTION("""COMPUTED_VALUE"""),"মোছাঃ নূরন্নাহার বেগম")</f>
        <v>মোছাঃ নূরন্নাহার বেগম</v>
      </c>
      <c r="G154" s="1" t="str">
        <f>IFERROR(__xludf.DUMMYFUNCTION("""COMPUTED_VALUE"""),"০১/০৫/১৯৮১")</f>
        <v>০১/০৫/১৯৮১</v>
      </c>
      <c r="H154" s="1" t="str">
        <f>IFERROR(__xludf.DUMMYFUNCTION("""COMPUTED_VALUE"""),"ব্যবসা")</f>
        <v>ব্যবসা</v>
      </c>
      <c r="I154" s="1" t="str">
        <f>IFERROR(__xludf.DUMMYFUNCTION("""COMPUTED_VALUE"""),"মহিষাখোলা")</f>
        <v>মহিষাখোলা</v>
      </c>
      <c r="J154" s="1" t="str">
        <f>IFERROR(__xludf.DUMMYFUNCTION("""COMPUTED_VALUE""")," গাংনী")</f>
        <v> গাংনী</v>
      </c>
      <c r="K154" s="1" t="str">
        <f>IFERROR(__xludf.DUMMYFUNCTION("""COMPUTED_VALUE""")," মেহেরপুর")</f>
        <v> মেহেরপুর</v>
      </c>
    </row>
    <row r="155">
      <c r="A155" s="6" t="s">
        <v>2240</v>
      </c>
      <c r="B155" s="1">
        <f>IFERROR(__xludf.DUMMYFUNCTION("SPLIT(A155,"","")"),156.0)</f>
        <v>156</v>
      </c>
      <c r="C155" s="1" t="str">
        <f>IFERROR(__xludf.DUMMYFUNCTION("""COMPUTED_VALUE"""),"মোঃ মুনছুর আলী")</f>
        <v>মোঃ মুনছুর আলী</v>
      </c>
      <c r="D155" s="1">
        <f>IFERROR(__xludf.DUMMYFUNCTION("""COMPUTED_VALUE"""),5.7005437456E10)</f>
        <v>57005437456</v>
      </c>
      <c r="E155" s="1" t="str">
        <f>IFERROR(__xludf.DUMMYFUNCTION("""COMPUTED_VALUE"""),"আবুল হোসেন")</f>
        <v>আবুল হোসেন</v>
      </c>
      <c r="F155" s="1" t="str">
        <f>IFERROR(__xludf.DUMMYFUNCTION("""COMPUTED_VALUE"""),"ছুরাতন নেছা")</f>
        <v>ছুরাতন নেছা</v>
      </c>
      <c r="G155" s="1" t="str">
        <f>IFERROR(__xludf.DUMMYFUNCTION("""COMPUTED_VALUE"""),"২০/০৪/১৯৬০")</f>
        <v>২০/০৪/১৯৬০</v>
      </c>
      <c r="H155" s="1" t="str">
        <f>IFERROR(__xludf.DUMMYFUNCTION("""COMPUTED_VALUE"""),"শ্রমিক")</f>
        <v>শ্রমিক</v>
      </c>
      <c r="I155" s="1" t="str">
        <f>IFERROR(__xludf.DUMMYFUNCTION("""COMPUTED_VALUE"""),"মহিষাখোলা")</f>
        <v>মহিষাখোলা</v>
      </c>
      <c r="J155" s="1" t="str">
        <f>IFERROR(__xludf.DUMMYFUNCTION("""COMPUTED_VALUE""")," গাংনী")</f>
        <v> গাংনী</v>
      </c>
      <c r="K155" s="1" t="str">
        <f>IFERROR(__xludf.DUMMYFUNCTION("""COMPUTED_VALUE""")," মেহেরপুর")</f>
        <v> মেহেরপুর</v>
      </c>
    </row>
    <row r="156">
      <c r="A156" s="6" t="s">
        <v>2241</v>
      </c>
      <c r="B156" s="1">
        <f>IFERROR(__xludf.DUMMYFUNCTION("SPLIT(A156,"","")"),157.0)</f>
        <v>157</v>
      </c>
      <c r="C156" s="1" t="str">
        <f>IFERROR(__xludf.DUMMYFUNCTION("""COMPUTED_VALUE"""),"মোঃ বজলু হক")</f>
        <v>মোঃ বজলু হক</v>
      </c>
      <c r="D156" s="1">
        <f>IFERROR(__xludf.DUMMYFUNCTION("""COMPUTED_VALUE"""),5.7005437456E10)</f>
        <v>57005437456</v>
      </c>
      <c r="E156" s="1" t="str">
        <f>IFERROR(__xludf.DUMMYFUNCTION("""COMPUTED_VALUE"""),"মোঃ ফয়জদ্দি মল্লিক")</f>
        <v>মোঃ ফয়জদ্দি মল্লিক</v>
      </c>
      <c r="F156" s="1" t="str">
        <f>IFERROR(__xludf.DUMMYFUNCTION("""COMPUTED_VALUE"""),"মোছাঃ রেজিয়া খাতুন")</f>
        <v>মোছাঃ রেজিয়া খাতুন</v>
      </c>
      <c r="G156" s="1" t="str">
        <f>IFERROR(__xludf.DUMMYFUNCTION("""COMPUTED_VALUE"""),"১২/১০/১৯৬৭")</f>
        <v>১২/১০/১৯৬৭</v>
      </c>
      <c r="H156" s="1" t="str">
        <f>IFERROR(__xludf.DUMMYFUNCTION("""COMPUTED_VALUE"""),"দিনমজুর")</f>
        <v>দিনমজুর</v>
      </c>
      <c r="I156" s="1" t="str">
        <f>IFERROR(__xludf.DUMMYFUNCTION("""COMPUTED_VALUE"""),"মহিষাখোলা")</f>
        <v>মহিষাখোলা</v>
      </c>
      <c r="J156" s="1" t="str">
        <f>IFERROR(__xludf.DUMMYFUNCTION("""COMPUTED_VALUE""")," গাংনী")</f>
        <v> গাংনী</v>
      </c>
      <c r="K156" s="1" t="str">
        <f>IFERROR(__xludf.DUMMYFUNCTION("""COMPUTED_VALUE""")," মেহেরপুর")</f>
        <v> মেহেরপুর</v>
      </c>
    </row>
    <row r="157">
      <c r="A157" s="6" t="s">
        <v>2242</v>
      </c>
      <c r="B157" s="1">
        <f>IFERROR(__xludf.DUMMYFUNCTION("SPLIT(A157,"","")"),158.0)</f>
        <v>158</v>
      </c>
      <c r="C157" s="1" t="str">
        <f>IFERROR(__xludf.DUMMYFUNCTION("""COMPUTED_VALUE"""),"মোঃ জসিম উদ্দীন")</f>
        <v>মোঃ জসিম উদ্দীন</v>
      </c>
      <c r="D157" s="1">
        <f>IFERROR(__xludf.DUMMYFUNCTION("""COMPUTED_VALUE"""),5.7005437457E10)</f>
        <v>57005437457</v>
      </c>
      <c r="E157" s="1" t="str">
        <f>IFERROR(__xludf.DUMMYFUNCTION("""COMPUTED_VALUE"""),"মোঃ জামাত আলী")</f>
        <v>মোঃ জামাত আলী</v>
      </c>
      <c r="F157" s="1" t="str">
        <f>IFERROR(__xludf.DUMMYFUNCTION("""COMPUTED_VALUE"""),"মোছাঃ নূরুন্নাহার বেগম")</f>
        <v>মোছাঃ নূরুন্নাহার বেগম</v>
      </c>
      <c r="G157" s="1" t="str">
        <f>IFERROR(__xludf.DUMMYFUNCTION("""COMPUTED_VALUE"""),"২৬/০১/১৯৮৯")</f>
        <v>২৬/০১/১৯৮৯</v>
      </c>
      <c r="H157" s="1" t="str">
        <f>IFERROR(__xludf.DUMMYFUNCTION("""COMPUTED_VALUE"""),"বেকার")</f>
        <v>বেকার</v>
      </c>
      <c r="I157" s="1" t="str">
        <f>IFERROR(__xludf.DUMMYFUNCTION("""COMPUTED_VALUE"""),"মহিষাখোলা")</f>
        <v>মহিষাখোলা</v>
      </c>
      <c r="J157" s="1" t="str">
        <f>IFERROR(__xludf.DUMMYFUNCTION("""COMPUTED_VALUE""")," গাংনী")</f>
        <v> গাংনী</v>
      </c>
      <c r="K157" s="1" t="str">
        <f>IFERROR(__xludf.DUMMYFUNCTION("""COMPUTED_VALUE""")," মেহেরপুর")</f>
        <v> মেহেরপুর</v>
      </c>
    </row>
    <row r="158">
      <c r="A158" s="6" t="s">
        <v>2243</v>
      </c>
      <c r="B158" s="1">
        <f>IFERROR(__xludf.DUMMYFUNCTION("SPLIT(A158,"","")"),159.0)</f>
        <v>159</v>
      </c>
      <c r="C158" s="1" t="str">
        <f>IFERROR(__xludf.DUMMYFUNCTION("""COMPUTED_VALUE"""),"মোঃ ইয়াকুব আলী")</f>
        <v>মোঃ ইয়াকুব আলী</v>
      </c>
      <c r="D158" s="1">
        <f>IFERROR(__xludf.DUMMYFUNCTION("""COMPUTED_VALUE"""),5.7005437457E10)</f>
        <v>57005437457</v>
      </c>
      <c r="E158" s="1" t="str">
        <f>IFERROR(__xludf.DUMMYFUNCTION("""COMPUTED_VALUE"""),"মোঃ নজের আলী")</f>
        <v>মোঃ নজের আলী</v>
      </c>
      <c r="F158" s="1" t="str">
        <f>IFERROR(__xludf.DUMMYFUNCTION("""COMPUTED_VALUE"""),"মোছাঃ মেহেরুন্নেছা")</f>
        <v>মোছাঃ মেহেরুন্নেছা</v>
      </c>
      <c r="G158" s="1" t="str">
        <f>IFERROR(__xludf.DUMMYFUNCTION("""COMPUTED_VALUE"""),"১০/১০/১৯৭২")</f>
        <v>১০/১০/১৯৭২</v>
      </c>
      <c r="H158" s="1" t="str">
        <f>IFERROR(__xludf.DUMMYFUNCTION("""COMPUTED_VALUE"""),"কৃষক")</f>
        <v>কৃষক</v>
      </c>
      <c r="I158" s="1" t="str">
        <f>IFERROR(__xludf.DUMMYFUNCTION("""COMPUTED_VALUE"""),"মহিষাখোলা")</f>
        <v>মহিষাখোলা</v>
      </c>
      <c r="J158" s="1" t="str">
        <f>IFERROR(__xludf.DUMMYFUNCTION("""COMPUTED_VALUE""")," গাংনী")</f>
        <v> গাংনী</v>
      </c>
      <c r="K158" s="1" t="str">
        <f>IFERROR(__xludf.DUMMYFUNCTION("""COMPUTED_VALUE""")," মেহেরপুর")</f>
        <v> মেহেরপুর</v>
      </c>
    </row>
    <row r="159">
      <c r="A159" s="6" t="s">
        <v>2244</v>
      </c>
      <c r="B159" s="1">
        <f>IFERROR(__xludf.DUMMYFUNCTION("SPLIT(A159,"","")"),160.0)</f>
        <v>160</v>
      </c>
      <c r="C159" s="1" t="str">
        <f>IFERROR(__xludf.DUMMYFUNCTION("""COMPUTED_VALUE"""),"মোঃ এনামুল হক")</f>
        <v>মোঃ এনামুল হক</v>
      </c>
      <c r="D159" s="1">
        <f>IFERROR(__xludf.DUMMYFUNCTION("""COMPUTED_VALUE"""),5.7005437457E10)</f>
        <v>57005437457</v>
      </c>
      <c r="E159" s="1" t="str">
        <f>IFERROR(__xludf.DUMMYFUNCTION("""COMPUTED_VALUE"""),"ছিদ্দিক আলী")</f>
        <v>ছিদ্দিক আলী</v>
      </c>
      <c r="F159" s="1" t="str">
        <f>IFERROR(__xludf.DUMMYFUNCTION("""COMPUTED_VALUE"""),"মোছাঃ শাহানারা বেগম")</f>
        <v>মোছাঃ শাহানারা বেগম</v>
      </c>
      <c r="G159" s="1" t="str">
        <f>IFERROR(__xludf.DUMMYFUNCTION("""COMPUTED_VALUE"""),"১৩/১০/১৯৮৭")</f>
        <v>১৩/১০/১৯৮৭</v>
      </c>
      <c r="H159" s="1" t="str">
        <f>IFERROR(__xludf.DUMMYFUNCTION("""COMPUTED_VALUE"""),"দিনমজুর")</f>
        <v>দিনমজুর</v>
      </c>
      <c r="I159" s="1" t="str">
        <f>IFERROR(__xludf.DUMMYFUNCTION("""COMPUTED_VALUE"""),"মহিষাখোলা")</f>
        <v>মহিষাখোলা</v>
      </c>
      <c r="J159" s="1" t="str">
        <f>IFERROR(__xludf.DUMMYFUNCTION("""COMPUTED_VALUE""")," গাংনী")</f>
        <v> গাংনী</v>
      </c>
      <c r="K159" s="1" t="str">
        <f>IFERROR(__xludf.DUMMYFUNCTION("""COMPUTED_VALUE""")," মেহেরপুর")</f>
        <v> মেহেরপুর</v>
      </c>
    </row>
    <row r="160">
      <c r="A160" s="6" t="s">
        <v>2245</v>
      </c>
      <c r="B160" s="1">
        <f>IFERROR(__xludf.DUMMYFUNCTION("SPLIT(A160,"","")"),161.0)</f>
        <v>161</v>
      </c>
      <c r="C160" s="1" t="str">
        <f>IFERROR(__xludf.DUMMYFUNCTION("""COMPUTED_VALUE"""),"মোঃ মশিউর রহমান")</f>
        <v>মোঃ মশিউর রহমান</v>
      </c>
      <c r="D160" s="1">
        <f>IFERROR(__xludf.DUMMYFUNCTION("""COMPUTED_VALUE"""),5.7005437457E10)</f>
        <v>57005437457</v>
      </c>
      <c r="E160" s="1" t="str">
        <f>IFERROR(__xludf.DUMMYFUNCTION("""COMPUTED_VALUE"""),"মোঃ মজিবরুল ইসলাম")</f>
        <v>মোঃ মজিবরুল ইসলাম</v>
      </c>
      <c r="F160" s="1" t="str">
        <f>IFERROR(__xludf.DUMMYFUNCTION("""COMPUTED_VALUE"""),"মোছাঃ মুর্শিদা খাতুন")</f>
        <v>মোছাঃ মুর্শিদা খাতুন</v>
      </c>
      <c r="G160" s="1" t="str">
        <f>IFERROR(__xludf.DUMMYFUNCTION("""COMPUTED_VALUE"""),"১৫/০৬/১৯৮৮")</f>
        <v>১৫/০৬/১৯৮৮</v>
      </c>
      <c r="H160" s="1" t="str">
        <f>IFERROR(__xludf.DUMMYFUNCTION("""COMPUTED_VALUE"""),"দিনমজুর")</f>
        <v>দিনমজুর</v>
      </c>
      <c r="I160" s="1" t="str">
        <f>IFERROR(__xludf.DUMMYFUNCTION("""COMPUTED_VALUE"""),"মহিষাখোলা")</f>
        <v>মহিষাখোলা</v>
      </c>
      <c r="J160" s="1" t="str">
        <f>IFERROR(__xludf.DUMMYFUNCTION("""COMPUTED_VALUE""")," গাংনী")</f>
        <v> গাংনী</v>
      </c>
      <c r="K160" s="1" t="str">
        <f>IFERROR(__xludf.DUMMYFUNCTION("""COMPUTED_VALUE""")," মেহেরপুর")</f>
        <v> মেহেরপুর</v>
      </c>
    </row>
    <row r="161">
      <c r="A161" s="6" t="s">
        <v>2246</v>
      </c>
      <c r="B161" s="1">
        <f>IFERROR(__xludf.DUMMYFUNCTION("SPLIT(A161,"","")"),162.0)</f>
        <v>162</v>
      </c>
      <c r="C161" s="1" t="str">
        <f>IFERROR(__xludf.DUMMYFUNCTION("""COMPUTED_VALUE"""),"মোঃ ছমির উদ্দীন")</f>
        <v>মোঃ ছমির উদ্দীন</v>
      </c>
      <c r="D161" s="1">
        <f>IFERROR(__xludf.DUMMYFUNCTION("""COMPUTED_VALUE"""),5.7005437457E10)</f>
        <v>57005437457</v>
      </c>
      <c r="E161" s="1" t="str">
        <f>IFERROR(__xludf.DUMMYFUNCTION("""COMPUTED_VALUE"""),"মোঃ ছুবান সেখ")</f>
        <v>মোঃ ছুবান সেখ</v>
      </c>
      <c r="F161" s="1" t="str">
        <f>IFERROR(__xludf.DUMMYFUNCTION("""COMPUTED_VALUE"""),"মোছাঃ রহিদা খাতুন")</f>
        <v>মোছাঃ রহিদা খাতুন</v>
      </c>
      <c r="G161" s="1" t="str">
        <f>IFERROR(__xludf.DUMMYFUNCTION("""COMPUTED_VALUE"""),"৩১/১২/১৯৭৩")</f>
        <v>৩১/১২/১৯৭৩</v>
      </c>
      <c r="H161" s="1" t="str">
        <f>IFERROR(__xludf.DUMMYFUNCTION("""COMPUTED_VALUE"""),"কৃষক")</f>
        <v>কৃষক</v>
      </c>
      <c r="I161" s="1" t="str">
        <f>IFERROR(__xludf.DUMMYFUNCTION("""COMPUTED_VALUE"""),"মহিষাখোলা")</f>
        <v>মহিষাখোলা</v>
      </c>
      <c r="J161" s="1" t="str">
        <f>IFERROR(__xludf.DUMMYFUNCTION("""COMPUTED_VALUE""")," গাংনী")</f>
        <v> গাংনী</v>
      </c>
      <c r="K161" s="1" t="str">
        <f>IFERROR(__xludf.DUMMYFUNCTION("""COMPUTED_VALUE""")," মেহেরপুর")</f>
        <v> মেহেরপুর</v>
      </c>
    </row>
    <row r="162">
      <c r="A162" s="6" t="s">
        <v>2247</v>
      </c>
      <c r="B162" s="1">
        <f>IFERROR(__xludf.DUMMYFUNCTION("SPLIT(A162,"","")"),163.0)</f>
        <v>163</v>
      </c>
      <c r="C162" s="1" t="str">
        <f>IFERROR(__xludf.DUMMYFUNCTION("""COMPUTED_VALUE"""),"মোঃ আঃ হালিম")</f>
        <v>মোঃ আঃ হালিম</v>
      </c>
      <c r="D162" s="1">
        <f>IFERROR(__xludf.DUMMYFUNCTION("""COMPUTED_VALUE"""),5.7005437458E10)</f>
        <v>57005437458</v>
      </c>
      <c r="E162" s="1" t="str">
        <f>IFERROR(__xludf.DUMMYFUNCTION("""COMPUTED_VALUE"""),"মোঃ দোয়াত আলী")</f>
        <v>মোঃ দোয়াত আলী</v>
      </c>
      <c r="F162" s="1" t="str">
        <f>IFERROR(__xludf.DUMMYFUNCTION("""COMPUTED_VALUE"""),"মোছাঃ হালিমা খাতুন")</f>
        <v>মোছাঃ হালিমা খাতুন</v>
      </c>
      <c r="G162" s="1" t="str">
        <f>IFERROR(__xludf.DUMMYFUNCTION("""COMPUTED_VALUE"""),"২০/০৩/১৯৮৭")</f>
        <v>২০/০৩/১৯৮৭</v>
      </c>
      <c r="H162" s="1" t="str">
        <f>IFERROR(__xludf.DUMMYFUNCTION("""COMPUTED_VALUE"""),"কৃষক")</f>
        <v>কৃষক</v>
      </c>
      <c r="I162" s="1" t="str">
        <f>IFERROR(__xludf.DUMMYFUNCTION("""COMPUTED_VALUE"""),"মহিষাখোলা")</f>
        <v>মহিষাখোলা</v>
      </c>
      <c r="J162" s="1" t="str">
        <f>IFERROR(__xludf.DUMMYFUNCTION("""COMPUTED_VALUE""")," গাংনী")</f>
        <v> গাংনী</v>
      </c>
      <c r="K162" s="1" t="str">
        <f>IFERROR(__xludf.DUMMYFUNCTION("""COMPUTED_VALUE""")," মেহেরপুর")</f>
        <v> মেহেরপুর</v>
      </c>
    </row>
    <row r="163">
      <c r="A163" s="6" t="s">
        <v>2248</v>
      </c>
      <c r="B163" s="1">
        <f>IFERROR(__xludf.DUMMYFUNCTION("SPLIT(A163,"","")"),164.0)</f>
        <v>164</v>
      </c>
      <c r="C163" s="1" t="str">
        <f>IFERROR(__xludf.DUMMYFUNCTION("""COMPUTED_VALUE"""),"মোঃ জাকারিয়া")</f>
        <v>মোঃ জাকারিয়া</v>
      </c>
      <c r="D163" s="1">
        <f>IFERROR(__xludf.DUMMYFUNCTION("""COMPUTED_VALUE"""),5.7005437458E10)</f>
        <v>57005437458</v>
      </c>
      <c r="E163" s="1" t="str">
        <f>IFERROR(__xludf.DUMMYFUNCTION("""COMPUTED_VALUE"""),"মোঃ আনারুল ইসলাম")</f>
        <v>মোঃ আনারুল ইসলাম</v>
      </c>
      <c r="F163" s="1" t="str">
        <f>IFERROR(__xludf.DUMMYFUNCTION("""COMPUTED_VALUE"""),"মোছাঃ সাহেদা খাতুন")</f>
        <v>মোছাঃ সাহেদা খাতুন</v>
      </c>
      <c r="G163" s="1" t="str">
        <f>IFERROR(__xludf.DUMMYFUNCTION("""COMPUTED_VALUE"""),"০৫/১০/১৯৮৬")</f>
        <v>০৫/১০/১৯৮৬</v>
      </c>
      <c r="H163" s="1" t="str">
        <f>IFERROR(__xludf.DUMMYFUNCTION("""COMPUTED_VALUE"""),"কৃষক")</f>
        <v>কৃষক</v>
      </c>
      <c r="I163" s="1" t="str">
        <f>IFERROR(__xludf.DUMMYFUNCTION("""COMPUTED_VALUE"""),"মহিষাখোলা")</f>
        <v>মহিষাখোলা</v>
      </c>
      <c r="J163" s="1" t="str">
        <f>IFERROR(__xludf.DUMMYFUNCTION("""COMPUTED_VALUE""")," গাংনী")</f>
        <v> গাংনী</v>
      </c>
      <c r="K163" s="1" t="str">
        <f>IFERROR(__xludf.DUMMYFUNCTION("""COMPUTED_VALUE""")," মেহেরপুর")</f>
        <v> মেহেরপুর</v>
      </c>
    </row>
    <row r="164">
      <c r="A164" s="6" t="s">
        <v>2249</v>
      </c>
      <c r="B164" s="1">
        <f>IFERROR(__xludf.DUMMYFUNCTION("SPLIT(A164,"","")"),165.0)</f>
        <v>165</v>
      </c>
      <c r="C164" s="1" t="str">
        <f>IFERROR(__xludf.DUMMYFUNCTION("""COMPUTED_VALUE"""),"মোঃ মুনতাজ আলী")</f>
        <v>মোঃ মুনতাজ আলী</v>
      </c>
      <c r="D164" s="1">
        <f>IFERROR(__xludf.DUMMYFUNCTION("""COMPUTED_VALUE"""),5.7005437458E10)</f>
        <v>57005437458</v>
      </c>
      <c r="E164" s="1" t="str">
        <f>IFERROR(__xludf.DUMMYFUNCTION("""COMPUTED_VALUE"""),"আবুল মন্ডল")</f>
        <v>আবুল মন্ডল</v>
      </c>
      <c r="F164" s="1" t="str">
        <f>IFERROR(__xludf.DUMMYFUNCTION("""COMPUTED_VALUE"""),"ছুরাতন খাতুন")</f>
        <v>ছুরাতন খাতুন</v>
      </c>
      <c r="G164" s="1" t="str">
        <f>IFERROR(__xludf.DUMMYFUNCTION("""COMPUTED_VALUE"""),"২০/০৬/১৯৬২")</f>
        <v>২০/০৬/১৯৬২</v>
      </c>
      <c r="H164" s="1" t="str">
        <f>IFERROR(__xludf.DUMMYFUNCTION("""COMPUTED_VALUE"""),"কৃষক")</f>
        <v>কৃষক</v>
      </c>
      <c r="I164" s="1" t="str">
        <f>IFERROR(__xludf.DUMMYFUNCTION("""COMPUTED_VALUE"""),"মহিষাখোলা")</f>
        <v>মহিষাখোলা</v>
      </c>
      <c r="J164" s="1" t="str">
        <f>IFERROR(__xludf.DUMMYFUNCTION("""COMPUTED_VALUE""")," গাংনী")</f>
        <v> গাংনী</v>
      </c>
      <c r="K164" s="1" t="str">
        <f>IFERROR(__xludf.DUMMYFUNCTION("""COMPUTED_VALUE""")," মেহেরপুর")</f>
        <v> মেহেরপুর</v>
      </c>
    </row>
    <row r="165">
      <c r="A165" s="6" t="s">
        <v>2250</v>
      </c>
      <c r="B165" s="1">
        <f>IFERROR(__xludf.DUMMYFUNCTION("SPLIT(A165,"","")"),166.0)</f>
        <v>166</v>
      </c>
      <c r="C165" s="1" t="str">
        <f>IFERROR(__xludf.DUMMYFUNCTION("""COMPUTED_VALUE"""),"মোঃ তোফাজ্জেল আলী")</f>
        <v>মোঃ তোফাজ্জেল আলী</v>
      </c>
      <c r="D165" s="1">
        <f>IFERROR(__xludf.DUMMYFUNCTION("""COMPUTED_VALUE"""),5.7005437458E10)</f>
        <v>57005437458</v>
      </c>
      <c r="E165" s="1" t="str">
        <f>IFERROR(__xludf.DUMMYFUNCTION("""COMPUTED_VALUE"""),"মোঃ আব্দুল রহমান")</f>
        <v>মোঃ আব্দুল রহমান</v>
      </c>
      <c r="F165" s="1" t="str">
        <f>IFERROR(__xludf.DUMMYFUNCTION("""COMPUTED_VALUE"""),"মোছাঃ নিমিজান খাতুন")</f>
        <v>মোছাঃ নিমিজান খাতুন</v>
      </c>
      <c r="G165" s="1" t="str">
        <f>IFERROR(__xludf.DUMMYFUNCTION("""COMPUTED_VALUE"""),"১০/০৫/১৯৭৮")</f>
        <v>১০/০৫/১৯৭৮</v>
      </c>
      <c r="H165" s="1" t="str">
        <f>IFERROR(__xludf.DUMMYFUNCTION("""COMPUTED_VALUE"""),"ব্যবসা")</f>
        <v>ব্যবসা</v>
      </c>
      <c r="I165" s="1" t="str">
        <f>IFERROR(__xludf.DUMMYFUNCTION("""COMPUTED_VALUE"""),"মহিষাখোলা")</f>
        <v>মহিষাখোলা</v>
      </c>
      <c r="J165" s="1" t="str">
        <f>IFERROR(__xludf.DUMMYFUNCTION("""COMPUTED_VALUE""")," গাংনী")</f>
        <v> গাংনী</v>
      </c>
      <c r="K165" s="1" t="str">
        <f>IFERROR(__xludf.DUMMYFUNCTION("""COMPUTED_VALUE""")," মেহেরপুর")</f>
        <v> মেহেরপুর</v>
      </c>
    </row>
    <row r="166">
      <c r="A166" s="6" t="s">
        <v>2251</v>
      </c>
      <c r="B166" s="1">
        <f>IFERROR(__xludf.DUMMYFUNCTION("SPLIT(A166,"","")"),167.0)</f>
        <v>167</v>
      </c>
      <c r="C166" s="1" t="str">
        <f>IFERROR(__xludf.DUMMYFUNCTION("""COMPUTED_VALUE"""),"মোঃ শফিউল ইসলাম")</f>
        <v>মোঃ শফিউল ইসলাম</v>
      </c>
      <c r="D166" s="1">
        <f>IFERROR(__xludf.DUMMYFUNCTION("""COMPUTED_VALUE"""),5.7005437459E10)</f>
        <v>57005437459</v>
      </c>
      <c r="E166" s="1" t="str">
        <f>IFERROR(__xludf.DUMMYFUNCTION("""COMPUTED_VALUE"""),"মোঃ মুনছার আলী")</f>
        <v>মোঃ মুনছার আলী</v>
      </c>
      <c r="F166" s="1" t="str">
        <f>IFERROR(__xludf.DUMMYFUNCTION("""COMPUTED_VALUE"""),"মোছাঃ সাজেদা খাতুন")</f>
        <v>মোছাঃ সাজেদা খাতুন</v>
      </c>
      <c r="G166" s="1" t="str">
        <f>IFERROR(__xludf.DUMMYFUNCTION("""COMPUTED_VALUE"""),"১২/০৯/১৯৮৬")</f>
        <v>১২/০৯/১৯৮৬</v>
      </c>
      <c r="H166" s="1" t="str">
        <f>IFERROR(__xludf.DUMMYFUNCTION("""COMPUTED_VALUE"""),"কৃষক")</f>
        <v>কৃষক</v>
      </c>
      <c r="I166" s="1" t="str">
        <f>IFERROR(__xludf.DUMMYFUNCTION("""COMPUTED_VALUE"""),"মহিষাখোলা")</f>
        <v>মহিষাখোলা</v>
      </c>
      <c r="J166" s="1" t="str">
        <f>IFERROR(__xludf.DUMMYFUNCTION("""COMPUTED_VALUE""")," গাংনী")</f>
        <v> গাংনী</v>
      </c>
      <c r="K166" s="1" t="str">
        <f>IFERROR(__xludf.DUMMYFUNCTION("""COMPUTED_VALUE""")," মেহেরপুর")</f>
        <v> মেহেরপুর</v>
      </c>
    </row>
    <row r="167">
      <c r="A167" s="6" t="s">
        <v>2252</v>
      </c>
      <c r="B167" s="1">
        <f>IFERROR(__xludf.DUMMYFUNCTION("SPLIT(A167,"","")"),168.0)</f>
        <v>168</v>
      </c>
      <c r="C167" s="1" t="str">
        <f>IFERROR(__xludf.DUMMYFUNCTION("""COMPUTED_VALUE"""),"মোঃ বাবুর আলী")</f>
        <v>মোঃ বাবুর আলী</v>
      </c>
      <c r="D167" s="1">
        <f>IFERROR(__xludf.DUMMYFUNCTION("""COMPUTED_VALUE"""),5.7005437459E10)</f>
        <v>57005437459</v>
      </c>
      <c r="E167" s="1" t="str">
        <f>IFERROR(__xludf.DUMMYFUNCTION("""COMPUTED_VALUE"""),"মোঃ হায়াত আলী")</f>
        <v>মোঃ হায়াত আলী</v>
      </c>
      <c r="F167" s="1" t="str">
        <f>IFERROR(__xludf.DUMMYFUNCTION("""COMPUTED_VALUE"""),"মোছাঃ ছুরাতন নেছা")</f>
        <v>মোছাঃ ছুরাতন নেছা</v>
      </c>
      <c r="G167" s="1" t="str">
        <f>IFERROR(__xludf.DUMMYFUNCTION("""COMPUTED_VALUE"""),"১৫/০৬/১৯৭০")</f>
        <v>১৫/০৬/১৯৭০</v>
      </c>
      <c r="H167" s="1" t="str">
        <f>IFERROR(__xludf.DUMMYFUNCTION("""COMPUTED_VALUE"""),"শ্রমিক")</f>
        <v>শ্রমিক</v>
      </c>
      <c r="I167" s="1" t="str">
        <f>IFERROR(__xludf.DUMMYFUNCTION("""COMPUTED_VALUE"""),"মহিষাখোলা")</f>
        <v>মহিষাখোলা</v>
      </c>
      <c r="J167" s="1" t="str">
        <f>IFERROR(__xludf.DUMMYFUNCTION("""COMPUTED_VALUE""")," গাংনী")</f>
        <v> গাংনী</v>
      </c>
      <c r="K167" s="1" t="str">
        <f>IFERROR(__xludf.DUMMYFUNCTION("""COMPUTED_VALUE""")," মেহেরপুর")</f>
        <v> মেহেরপুর</v>
      </c>
    </row>
    <row r="168">
      <c r="A168" s="6" t="s">
        <v>2253</v>
      </c>
      <c r="B168" s="1">
        <f>IFERROR(__xludf.DUMMYFUNCTION("SPLIT(A168,"","")"),169.0)</f>
        <v>169</v>
      </c>
      <c r="C168" s="1" t="str">
        <f>IFERROR(__xludf.DUMMYFUNCTION("""COMPUTED_VALUE"""),"মোঃ জিনারুল ইসলাম")</f>
        <v>মোঃ জিনারুল ইসলাম</v>
      </c>
      <c r="D168" s="1">
        <f>IFERROR(__xludf.DUMMYFUNCTION("""COMPUTED_VALUE"""),5.7005437464E10)</f>
        <v>57005437464</v>
      </c>
      <c r="E168" s="1" t="str">
        <f>IFERROR(__xludf.DUMMYFUNCTION("""COMPUTED_VALUE"""),"মোঃ আঃ রাজ্জাক")</f>
        <v>মোঃ আঃ রাজ্জাক</v>
      </c>
      <c r="F168" s="1" t="str">
        <f>IFERROR(__xludf.DUMMYFUNCTION("""COMPUTED_VALUE"""),"মোছাঃ নিহারন নেছা")</f>
        <v>মোছাঃ নিহারন নেছা</v>
      </c>
      <c r="G168" s="1" t="str">
        <f>IFERROR(__xludf.DUMMYFUNCTION("""COMPUTED_VALUE"""),"২০/০৭/১৯৮০")</f>
        <v>২০/০৭/১৯৮০</v>
      </c>
      <c r="H168" s="1" t="str">
        <f>IFERROR(__xludf.DUMMYFUNCTION("""COMPUTED_VALUE"""),"শ্রমিক")</f>
        <v>শ্রমিক</v>
      </c>
      <c r="I168" s="1" t="str">
        <f>IFERROR(__xludf.DUMMYFUNCTION("""COMPUTED_VALUE"""),"মহিষাখোলা")</f>
        <v>মহিষাখোলা</v>
      </c>
      <c r="J168" s="1" t="str">
        <f>IFERROR(__xludf.DUMMYFUNCTION("""COMPUTED_VALUE""")," গাংনী")</f>
        <v> গাংনী</v>
      </c>
      <c r="K168" s="1" t="str">
        <f>IFERROR(__xludf.DUMMYFUNCTION("""COMPUTED_VALUE""")," মেহেরপুর")</f>
        <v> মেহেরপুর</v>
      </c>
    </row>
    <row r="169">
      <c r="A169" s="6" t="s">
        <v>2254</v>
      </c>
      <c r="B169" s="1">
        <f>IFERROR(__xludf.DUMMYFUNCTION("SPLIT(A169,"","")"),170.0)</f>
        <v>170</v>
      </c>
      <c r="C169" s="1" t="str">
        <f>IFERROR(__xludf.DUMMYFUNCTION("""COMPUTED_VALUE"""),"মোঃ আরিফুল ইসলাম")</f>
        <v>মোঃ আরিফুল ইসলাম</v>
      </c>
      <c r="D169" s="1">
        <f>IFERROR(__xludf.DUMMYFUNCTION("""COMPUTED_VALUE"""),5.7005437464E10)</f>
        <v>57005437464</v>
      </c>
      <c r="E169" s="1" t="str">
        <f>IFERROR(__xludf.DUMMYFUNCTION("""COMPUTED_VALUE"""),"মোঃ হামিদুল ইসলাম")</f>
        <v>মোঃ হামিদুল ইসলাম</v>
      </c>
      <c r="F169" s="1" t="str">
        <f>IFERROR(__xludf.DUMMYFUNCTION("""COMPUTED_VALUE"""),"মোছাঃ আরজিনা খাতুন")</f>
        <v>মোছাঃ আরজিনা খাতুন</v>
      </c>
      <c r="G169" s="1" t="str">
        <f>IFERROR(__xludf.DUMMYFUNCTION("""COMPUTED_VALUE"""),"১০/১২/১৯৮৮")</f>
        <v>১০/১২/১৯৮৮</v>
      </c>
      <c r="H169" s="1" t="str">
        <f>IFERROR(__xludf.DUMMYFUNCTION("""COMPUTED_VALUE"""),"কৃষক")</f>
        <v>কৃষক</v>
      </c>
      <c r="I169" s="1" t="str">
        <f>IFERROR(__xludf.DUMMYFUNCTION("""COMPUTED_VALUE"""),"মহিষাখোলা")</f>
        <v>মহিষাখোলা</v>
      </c>
      <c r="J169" s="1" t="str">
        <f>IFERROR(__xludf.DUMMYFUNCTION("""COMPUTED_VALUE""")," গাংনী")</f>
        <v> গাংনী</v>
      </c>
      <c r="K169" s="1" t="str">
        <f>IFERROR(__xludf.DUMMYFUNCTION("""COMPUTED_VALUE""")," মেহেরপুর")</f>
        <v> মেহেরপুর</v>
      </c>
    </row>
    <row r="170">
      <c r="A170" s="6" t="s">
        <v>2255</v>
      </c>
      <c r="B170" s="1">
        <f>IFERROR(__xludf.DUMMYFUNCTION("SPLIT(A170,"","")"),171.0)</f>
        <v>171</v>
      </c>
      <c r="C170" s="1" t="str">
        <f>IFERROR(__xludf.DUMMYFUNCTION("""COMPUTED_VALUE"""),"মোঃ ইদ্রিস আলী")</f>
        <v>মোঃ ইদ্রিস আলী</v>
      </c>
      <c r="D170" s="1">
        <f>IFERROR(__xludf.DUMMYFUNCTION("""COMPUTED_VALUE"""),5.7005437464E10)</f>
        <v>57005437464</v>
      </c>
      <c r="E170" s="1" t="str">
        <f>IFERROR(__xludf.DUMMYFUNCTION("""COMPUTED_VALUE"""),"মোঃ হায়াত আলী")</f>
        <v>মোঃ হায়াত আলী</v>
      </c>
      <c r="F170" s="1" t="str">
        <f>IFERROR(__xludf.DUMMYFUNCTION("""COMPUTED_VALUE"""),"মোছাঃ ছুরাতন নেছা")</f>
        <v>মোছাঃ ছুরাতন নেছা</v>
      </c>
      <c r="G170" s="1" t="str">
        <f>IFERROR(__xludf.DUMMYFUNCTION("""COMPUTED_VALUE"""),"১৫/০৫/১৯৬২")</f>
        <v>১৫/০৫/১৯৬২</v>
      </c>
      <c r="H170" s="1" t="str">
        <f>IFERROR(__xludf.DUMMYFUNCTION("""COMPUTED_VALUE"""),"কৃষক")</f>
        <v>কৃষক</v>
      </c>
      <c r="I170" s="1" t="str">
        <f>IFERROR(__xludf.DUMMYFUNCTION("""COMPUTED_VALUE"""),"মহিষাখোলা")</f>
        <v>মহিষাখোলা</v>
      </c>
      <c r="J170" s="1" t="str">
        <f>IFERROR(__xludf.DUMMYFUNCTION("""COMPUTED_VALUE""")," গাংনী")</f>
        <v> গাংনী</v>
      </c>
      <c r="K170" s="1" t="str">
        <f>IFERROR(__xludf.DUMMYFUNCTION("""COMPUTED_VALUE""")," মেহেরপুর")</f>
        <v> মেহেরপুর</v>
      </c>
    </row>
    <row r="171">
      <c r="A171" s="6" t="s">
        <v>2256</v>
      </c>
      <c r="B171" s="1">
        <f>IFERROR(__xludf.DUMMYFUNCTION("SPLIT(A171,"","")"),172.0)</f>
        <v>172</v>
      </c>
      <c r="C171" s="1" t="str">
        <f>IFERROR(__xludf.DUMMYFUNCTION("""COMPUTED_VALUE"""),"মোঃ আনারুল")</f>
        <v>মোঃ আনারুল</v>
      </c>
      <c r="D171" s="1">
        <f>IFERROR(__xludf.DUMMYFUNCTION("""COMPUTED_VALUE"""),5.7005437464E10)</f>
        <v>57005437464</v>
      </c>
      <c r="E171" s="1" t="str">
        <f>IFERROR(__xludf.DUMMYFUNCTION("""COMPUTED_VALUE"""),"মোঃ সামসুল হক")</f>
        <v>মোঃ সামসুল হক</v>
      </c>
      <c r="F171" s="1" t="str">
        <f>IFERROR(__xludf.DUMMYFUNCTION("""COMPUTED_VALUE"""),"মোছাঃ তছলিমা খাতুন")</f>
        <v>মোছাঃ তছলিমা খাতুন</v>
      </c>
      <c r="G171" s="1" t="str">
        <f>IFERROR(__xludf.DUMMYFUNCTION("""COMPUTED_VALUE"""),"২০/০৭/১৯৬২")</f>
        <v>২০/০৭/১৯৬২</v>
      </c>
      <c r="H171" s="1" t="str">
        <f>IFERROR(__xludf.DUMMYFUNCTION("""COMPUTED_VALUE"""),"কৃষক")</f>
        <v>কৃষক</v>
      </c>
      <c r="I171" s="1" t="str">
        <f>IFERROR(__xludf.DUMMYFUNCTION("""COMPUTED_VALUE"""),"মহিষাখোলা")</f>
        <v>মহিষাখোলা</v>
      </c>
      <c r="J171" s="1" t="str">
        <f>IFERROR(__xludf.DUMMYFUNCTION("""COMPUTED_VALUE""")," গাংনী")</f>
        <v> গাংনী</v>
      </c>
      <c r="K171" s="1" t="str">
        <f>IFERROR(__xludf.DUMMYFUNCTION("""COMPUTED_VALUE""")," মেহেরপুর")</f>
        <v> মেহেরপুর</v>
      </c>
    </row>
    <row r="172">
      <c r="A172" s="6" t="s">
        <v>2257</v>
      </c>
      <c r="B172" s="1">
        <f>IFERROR(__xludf.DUMMYFUNCTION("SPLIT(A172,"","")"),173.0)</f>
        <v>173</v>
      </c>
      <c r="C172" s="1" t="str">
        <f>IFERROR(__xludf.DUMMYFUNCTION("""COMPUTED_VALUE"""),"মোঃ রাশিদুল ইসলাম")</f>
        <v>মোঃ রাশিদুল ইসলাম</v>
      </c>
      <c r="D172" s="1">
        <f>IFERROR(__xludf.DUMMYFUNCTION("""COMPUTED_VALUE"""),5.7005437465E10)</f>
        <v>57005437465</v>
      </c>
      <c r="E172" s="1" t="str">
        <f>IFERROR(__xludf.DUMMYFUNCTION("""COMPUTED_VALUE"""),"মোঃ ইসলাম")</f>
        <v>মোঃ ইসলাম</v>
      </c>
      <c r="F172" s="1" t="str">
        <f>IFERROR(__xludf.DUMMYFUNCTION("""COMPUTED_VALUE"""),"মোছাঃ আছিয়া খাতুন")</f>
        <v>মোছাঃ আছিয়া খাতুন</v>
      </c>
      <c r="G172" s="1" t="str">
        <f>IFERROR(__xludf.DUMMYFUNCTION("""COMPUTED_VALUE"""),"১০/০৬/১৯৮৮")</f>
        <v>১০/০৬/১৯৮৮</v>
      </c>
      <c r="H172" s="1" t="str">
        <f>IFERROR(__xludf.DUMMYFUNCTION("""COMPUTED_VALUE"""),"দিনমজুর")</f>
        <v>দিনমজুর</v>
      </c>
      <c r="I172" s="1" t="str">
        <f>IFERROR(__xludf.DUMMYFUNCTION("""COMPUTED_VALUE"""),"মহিষাখোলা")</f>
        <v>মহিষাখোলা</v>
      </c>
      <c r="J172" s="1" t="str">
        <f>IFERROR(__xludf.DUMMYFUNCTION("""COMPUTED_VALUE""")," গাংনী")</f>
        <v> গাংনী</v>
      </c>
      <c r="K172" s="1" t="str">
        <f>IFERROR(__xludf.DUMMYFUNCTION("""COMPUTED_VALUE""")," মেহেরপুর")</f>
        <v> মেহেরপুর</v>
      </c>
    </row>
    <row r="173">
      <c r="A173" s="6" t="s">
        <v>2258</v>
      </c>
      <c r="B173" s="1">
        <f>IFERROR(__xludf.DUMMYFUNCTION("SPLIT(A173,"","")"),174.0)</f>
        <v>174</v>
      </c>
      <c r="C173" s="1" t="str">
        <f>IFERROR(__xludf.DUMMYFUNCTION("""COMPUTED_VALUE"""),"মোঃ মিন্টু আলী")</f>
        <v>মোঃ মিন্টু আলী</v>
      </c>
      <c r="D173" s="1">
        <f>IFERROR(__xludf.DUMMYFUNCTION("""COMPUTED_VALUE"""),5.7005437465E10)</f>
        <v>57005437465</v>
      </c>
      <c r="E173" s="1" t="str">
        <f>IFERROR(__xludf.DUMMYFUNCTION("""COMPUTED_VALUE"""),"মোঃ জমির উদ্দীন")</f>
        <v>মোঃ জমির উদ্দীন</v>
      </c>
      <c r="F173" s="1" t="str">
        <f>IFERROR(__xludf.DUMMYFUNCTION("""COMPUTED_VALUE"""),"মোছাঃ রেজিয়া খাতুন")</f>
        <v>মোছাঃ রেজিয়া খাতুন</v>
      </c>
      <c r="G173" s="1" t="str">
        <f>IFERROR(__xludf.DUMMYFUNCTION("""COMPUTED_VALUE"""),"২০/০৬/১৯৮৫")</f>
        <v>২০/০৬/১৯৮৫</v>
      </c>
      <c r="H173" s="1" t="str">
        <f>IFERROR(__xludf.DUMMYFUNCTION("""COMPUTED_VALUE"""),"দিনমজুর")</f>
        <v>দিনমজুর</v>
      </c>
      <c r="I173" s="1" t="str">
        <f>IFERROR(__xludf.DUMMYFUNCTION("""COMPUTED_VALUE"""),"মহিষাখোলা")</f>
        <v>মহিষাখোলা</v>
      </c>
      <c r="J173" s="1" t="str">
        <f>IFERROR(__xludf.DUMMYFUNCTION("""COMPUTED_VALUE""")," গাংনী")</f>
        <v> গাংনী</v>
      </c>
      <c r="K173" s="1" t="str">
        <f>IFERROR(__xludf.DUMMYFUNCTION("""COMPUTED_VALUE""")," মেহেরপুর")</f>
        <v> মেহেরপুর</v>
      </c>
    </row>
    <row r="174">
      <c r="A174" s="6" t="s">
        <v>2259</v>
      </c>
      <c r="B174" s="1">
        <f>IFERROR(__xludf.DUMMYFUNCTION("SPLIT(A174,"","")"),175.0)</f>
        <v>175</v>
      </c>
      <c r="C174" s="1" t="str">
        <f>IFERROR(__xludf.DUMMYFUNCTION("""COMPUTED_VALUE"""),"মোঃ শফিকুল ইসলাম")</f>
        <v>মোঃ শফিকুল ইসলাম</v>
      </c>
      <c r="D174" s="1">
        <f>IFERROR(__xludf.DUMMYFUNCTION("""COMPUTED_VALUE"""),5.7005437465E10)</f>
        <v>57005437465</v>
      </c>
      <c r="E174" s="1" t="str">
        <f>IFERROR(__xludf.DUMMYFUNCTION("""COMPUTED_VALUE"""),"মোঃ আফসার আলী")</f>
        <v>মোঃ আফসার আলী</v>
      </c>
      <c r="F174" s="1" t="str">
        <f>IFERROR(__xludf.DUMMYFUNCTION("""COMPUTED_VALUE"""),"আমেনা খাতুন")</f>
        <v>আমেনা খাতুন</v>
      </c>
      <c r="G174" s="1" t="str">
        <f>IFERROR(__xludf.DUMMYFUNCTION("""COMPUTED_VALUE"""),"১০/০২/১৯৭৩")</f>
        <v>১০/০২/১৯৭৩</v>
      </c>
      <c r="H174" s="1" t="str">
        <f>IFERROR(__xludf.DUMMYFUNCTION("""COMPUTED_VALUE"""),"কৃষক")</f>
        <v>কৃষক</v>
      </c>
      <c r="I174" s="1" t="str">
        <f>IFERROR(__xludf.DUMMYFUNCTION("""COMPUTED_VALUE"""),"মহিষাখোলা")</f>
        <v>মহিষাখোলা</v>
      </c>
      <c r="J174" s="1" t="str">
        <f>IFERROR(__xludf.DUMMYFUNCTION("""COMPUTED_VALUE""")," গাংনী")</f>
        <v> গাংনী</v>
      </c>
      <c r="K174" s="1" t="str">
        <f>IFERROR(__xludf.DUMMYFUNCTION("""COMPUTED_VALUE""")," মেহেরপুর")</f>
        <v> মেহেরপুর</v>
      </c>
    </row>
    <row r="175">
      <c r="A175" s="6" t="s">
        <v>2260</v>
      </c>
      <c r="B175" s="1">
        <f>IFERROR(__xludf.DUMMYFUNCTION("SPLIT(A175,"","")"),176.0)</f>
        <v>176</v>
      </c>
      <c r="C175" s="1" t="str">
        <f>IFERROR(__xludf.DUMMYFUNCTION("""COMPUTED_VALUE"""),"মোঃ মিনারুল")</f>
        <v>মোঃ মিনারুল</v>
      </c>
      <c r="D175" s="1">
        <f>IFERROR(__xludf.DUMMYFUNCTION("""COMPUTED_VALUE"""),5.7005437465E10)</f>
        <v>57005437465</v>
      </c>
      <c r="E175" s="1" t="str">
        <f>IFERROR(__xludf.DUMMYFUNCTION("""COMPUTED_VALUE"""),"আঃ রাজ্জাক")</f>
        <v>আঃ রাজ্জাক</v>
      </c>
      <c r="F175" s="1" t="str">
        <f>IFERROR(__xludf.DUMMYFUNCTION("""COMPUTED_VALUE"""),"নিহারন")</f>
        <v>নিহারন</v>
      </c>
      <c r="G175" s="1" t="str">
        <f>IFERROR(__xludf.DUMMYFUNCTION("""COMPUTED_VALUE"""),"০৫/০২/১৯৮৯")</f>
        <v>০৫/০২/১৯৮৯</v>
      </c>
      <c r="H175" s="1" t="str">
        <f>IFERROR(__xludf.DUMMYFUNCTION("""COMPUTED_VALUE"""),"কৃষক")</f>
        <v>কৃষক</v>
      </c>
      <c r="I175" s="1" t="str">
        <f>IFERROR(__xludf.DUMMYFUNCTION("""COMPUTED_VALUE"""),"মহিষাখোলা")</f>
        <v>মহিষাখোলা</v>
      </c>
      <c r="J175" s="1" t="str">
        <f>IFERROR(__xludf.DUMMYFUNCTION("""COMPUTED_VALUE""")," গাংনী")</f>
        <v> গাংনী</v>
      </c>
      <c r="K175" s="1" t="str">
        <f>IFERROR(__xludf.DUMMYFUNCTION("""COMPUTED_VALUE""")," মেহেরপুর")</f>
        <v> মেহেরপুর</v>
      </c>
    </row>
    <row r="176">
      <c r="A176" s="6" t="s">
        <v>2261</v>
      </c>
      <c r="B176" s="1">
        <f>IFERROR(__xludf.DUMMYFUNCTION("SPLIT(A176,"","")"),177.0)</f>
        <v>177</v>
      </c>
      <c r="C176" s="1" t="str">
        <f>IFERROR(__xludf.DUMMYFUNCTION("""COMPUTED_VALUE"""),"মোঃ সামসুল হক")</f>
        <v>মোঃ সামসুল হক</v>
      </c>
      <c r="D176" s="1">
        <f>IFERROR(__xludf.DUMMYFUNCTION("""COMPUTED_VALUE"""),5.7005437466E10)</f>
        <v>57005437466</v>
      </c>
      <c r="E176" s="1" t="str">
        <f>IFERROR(__xludf.DUMMYFUNCTION("""COMPUTED_VALUE"""),"মহাতাব উদ্দীন")</f>
        <v>মহাতাব উদ্দীন</v>
      </c>
      <c r="F176" s="1" t="str">
        <f>IFERROR(__xludf.DUMMYFUNCTION("""COMPUTED_VALUE"""),"জিলাফন নেছা")</f>
        <v>জিলাফন নেছা</v>
      </c>
      <c r="G176" s="1" t="str">
        <f>IFERROR(__xludf.DUMMYFUNCTION("""COMPUTED_VALUE"""),"২৫/০৩/১৯৪৭")</f>
        <v>২৫/০৩/১৯৪৭</v>
      </c>
      <c r="H176" s="1" t="str">
        <f>IFERROR(__xludf.DUMMYFUNCTION("""COMPUTED_VALUE"""),"কৃষক")</f>
        <v>কৃষক</v>
      </c>
      <c r="I176" s="1" t="str">
        <f>IFERROR(__xludf.DUMMYFUNCTION("""COMPUTED_VALUE"""),"মহিষাখোলা")</f>
        <v>মহিষাখোলা</v>
      </c>
      <c r="J176" s="1" t="str">
        <f>IFERROR(__xludf.DUMMYFUNCTION("""COMPUTED_VALUE""")," গাংনী")</f>
        <v> গাংনী</v>
      </c>
      <c r="K176" s="1" t="str">
        <f>IFERROR(__xludf.DUMMYFUNCTION("""COMPUTED_VALUE""")," মেহেরপুর")</f>
        <v> মেহেরপুর</v>
      </c>
    </row>
    <row r="177">
      <c r="A177" s="6" t="s">
        <v>2262</v>
      </c>
      <c r="B177" s="1">
        <f>IFERROR(__xludf.DUMMYFUNCTION("SPLIT(A177,"","")"),178.0)</f>
        <v>178</v>
      </c>
      <c r="C177" s="1" t="str">
        <f>IFERROR(__xludf.DUMMYFUNCTION("""COMPUTED_VALUE"""),"মোঃ জহুরুল ইসলাম")</f>
        <v>মোঃ জহুরুল ইসলাম</v>
      </c>
      <c r="D177" s="1">
        <f>IFERROR(__xludf.DUMMYFUNCTION("""COMPUTED_VALUE"""),5.7005437468E10)</f>
        <v>57005437468</v>
      </c>
      <c r="E177" s="1" t="str">
        <f>IFERROR(__xludf.DUMMYFUNCTION("""COMPUTED_VALUE"""),"হারুন অর রশিদ")</f>
        <v>হারুন অর রশিদ</v>
      </c>
      <c r="F177" s="1" t="str">
        <f>IFERROR(__xludf.DUMMYFUNCTION("""COMPUTED_VALUE"""),"মোছাঃ খাতেমা খাতুন")</f>
        <v>মোছাঃ খাতেমা খাতুন</v>
      </c>
      <c r="G177" s="1" t="str">
        <f>IFERROR(__xludf.DUMMYFUNCTION("""COMPUTED_VALUE"""),"১০/১০/১৯৭৯")</f>
        <v>১০/১০/১৯৭৯</v>
      </c>
      <c r="H177" s="1" t="str">
        <f>IFERROR(__xludf.DUMMYFUNCTION("""COMPUTED_VALUE"""),"কৃষক")</f>
        <v>কৃষক</v>
      </c>
      <c r="I177" s="1" t="str">
        <f>IFERROR(__xludf.DUMMYFUNCTION("""COMPUTED_VALUE"""),"মহিষাখোলা")</f>
        <v>মহিষাখোলা</v>
      </c>
      <c r="J177" s="1" t="str">
        <f>IFERROR(__xludf.DUMMYFUNCTION("""COMPUTED_VALUE""")," গাংনী")</f>
        <v> গাংনী</v>
      </c>
      <c r="K177" s="1" t="str">
        <f>IFERROR(__xludf.DUMMYFUNCTION("""COMPUTED_VALUE""")," মেহেরপুর")</f>
        <v> মেহেরপুর</v>
      </c>
    </row>
    <row r="178">
      <c r="A178" s="6" t="s">
        <v>2263</v>
      </c>
      <c r="B178" s="1">
        <f>IFERROR(__xludf.DUMMYFUNCTION("SPLIT(A178,"","")"),179.0)</f>
        <v>179</v>
      </c>
      <c r="C178" s="1" t="str">
        <f>IFERROR(__xludf.DUMMYFUNCTION("""COMPUTED_VALUE"""),"মোহাঃ লিয়াকত আলী")</f>
        <v>মোহাঃ লিয়াকত আলী</v>
      </c>
      <c r="D178" s="1">
        <f>IFERROR(__xludf.DUMMYFUNCTION("""COMPUTED_VALUE"""),5.70054375009E11)</f>
        <v>570054375009</v>
      </c>
      <c r="E178" s="1" t="str">
        <f>IFERROR(__xludf.DUMMYFUNCTION("""COMPUTED_VALUE"""),"হারুন অর রশিদ")</f>
        <v>হারুন অর রশিদ</v>
      </c>
      <c r="F178" s="1" t="str">
        <f>IFERROR(__xludf.DUMMYFUNCTION("""COMPUTED_VALUE"""),"মোছাঃ খাতেমা খাতুন")</f>
        <v>মোছাঃ খাতেমা খাতুন</v>
      </c>
      <c r="G178" s="1" t="str">
        <f>IFERROR(__xludf.DUMMYFUNCTION("""COMPUTED_VALUE"""),"০৭/১১/১৯৭০")</f>
        <v>০৭/১১/১৯৭০</v>
      </c>
      <c r="H178" s="1" t="str">
        <f>IFERROR(__xludf.DUMMYFUNCTION("""COMPUTED_VALUE"""),"দিনমজুর")</f>
        <v>দিনমজুর</v>
      </c>
      <c r="I178" s="1" t="str">
        <f>IFERROR(__xludf.DUMMYFUNCTION("""COMPUTED_VALUE"""),"মহিষাখোলা")</f>
        <v>মহিষাখোলা</v>
      </c>
      <c r="J178" s="1" t="str">
        <f>IFERROR(__xludf.DUMMYFUNCTION("""COMPUTED_VALUE""")," গাংনী")</f>
        <v> গাংনী</v>
      </c>
      <c r="K178" s="1" t="str">
        <f>IFERROR(__xludf.DUMMYFUNCTION("""COMPUTED_VALUE""")," মেহেরপুর")</f>
        <v> মেহেরপুর</v>
      </c>
    </row>
    <row r="179">
      <c r="A179" s="6" t="s">
        <v>2264</v>
      </c>
      <c r="B179" s="1">
        <f>IFERROR(__xludf.DUMMYFUNCTION("SPLIT(A179,"","")"),180.0)</f>
        <v>180</v>
      </c>
      <c r="C179" s="1" t="str">
        <f>IFERROR(__xludf.DUMMYFUNCTION("""COMPUTED_VALUE"""),"মোহাঃ আব্দুর রহিম")</f>
        <v>মোহাঃ আব্দুর রহিম</v>
      </c>
      <c r="D179" s="1">
        <f>IFERROR(__xludf.DUMMYFUNCTION("""COMPUTED_VALUE"""),5.70054375011E11)</f>
        <v>570054375011</v>
      </c>
      <c r="E179" s="1" t="str">
        <f>IFERROR(__xludf.DUMMYFUNCTION("""COMPUTED_VALUE"""),"শাহাদত শেখ")</f>
        <v>শাহাদত শেখ</v>
      </c>
      <c r="F179" s="1" t="str">
        <f>IFERROR(__xludf.DUMMYFUNCTION("""COMPUTED_VALUE"""),"মোছাঃ টলোজান নেছা")</f>
        <v>মোছাঃ টলোজান নেছা</v>
      </c>
      <c r="G179" s="1" t="str">
        <f>IFERROR(__xludf.DUMMYFUNCTION("""COMPUTED_VALUE"""),"০৫/০৩/১৯৫৫")</f>
        <v>০৫/০৩/১৯৫৫</v>
      </c>
      <c r="H179" s="1" t="str">
        <f>IFERROR(__xludf.DUMMYFUNCTION("""COMPUTED_VALUE"""),"কৃষক")</f>
        <v>কৃষক</v>
      </c>
      <c r="I179" s="1" t="str">
        <f>IFERROR(__xludf.DUMMYFUNCTION("""COMPUTED_VALUE"""),"মহিষাখোলা")</f>
        <v>মহিষাখোলা</v>
      </c>
      <c r="J179" s="1" t="str">
        <f>IFERROR(__xludf.DUMMYFUNCTION("""COMPUTED_VALUE""")," গাংনী")</f>
        <v> গাংনী</v>
      </c>
      <c r="K179" s="1" t="str">
        <f>IFERROR(__xludf.DUMMYFUNCTION("""COMPUTED_VALUE""")," মেহেরপুর")</f>
        <v> মেহেরপুর</v>
      </c>
    </row>
    <row r="180">
      <c r="A180" s="6" t="s">
        <v>2265</v>
      </c>
      <c r="B180" s="1">
        <f>IFERROR(__xludf.DUMMYFUNCTION("SPLIT(A180,"","")"),181.0)</f>
        <v>181</v>
      </c>
      <c r="C180" s="1" t="str">
        <f>IFERROR(__xludf.DUMMYFUNCTION("""COMPUTED_VALUE"""),"মোহাঃ জালাল উদ্দীন")</f>
        <v>মোহাঃ জালাল উদ্দীন</v>
      </c>
      <c r="D180" s="1">
        <f>IFERROR(__xludf.DUMMYFUNCTION("""COMPUTED_VALUE"""),5.70054375012E11)</f>
        <v>570054375012</v>
      </c>
      <c r="E180" s="1" t="str">
        <f>IFERROR(__xludf.DUMMYFUNCTION("""COMPUTED_VALUE"""),"মোহাঃ আব্দুর রহিম")</f>
        <v>মোহাঃ আব্দুর রহিম</v>
      </c>
      <c r="F180" s="1" t="str">
        <f>IFERROR(__xludf.DUMMYFUNCTION("""COMPUTED_VALUE"""),"মোছাঃ বানুয়ারা খাতুন")</f>
        <v>মোছাঃ বানুয়ারা খাতুন</v>
      </c>
      <c r="G180" s="1" t="str">
        <f>IFERROR(__xludf.DUMMYFUNCTION("""COMPUTED_VALUE"""),"০১/০৬/১৯৮১")</f>
        <v>০১/০৬/১৯৮১</v>
      </c>
      <c r="H180" s="1" t="str">
        <f>IFERROR(__xludf.DUMMYFUNCTION("""COMPUTED_VALUE"""),"দিনমজুর")</f>
        <v>দিনমজুর</v>
      </c>
      <c r="I180" s="1" t="str">
        <f>IFERROR(__xludf.DUMMYFUNCTION("""COMPUTED_VALUE"""),"মহিষাখোলা")</f>
        <v>মহিষাখোলা</v>
      </c>
      <c r="J180" s="1" t="str">
        <f>IFERROR(__xludf.DUMMYFUNCTION("""COMPUTED_VALUE""")," গাংনী")</f>
        <v> গাংনী</v>
      </c>
      <c r="K180" s="1" t="str">
        <f>IFERROR(__xludf.DUMMYFUNCTION("""COMPUTED_VALUE""")," মেহেরপুর")</f>
        <v> মেহেরপুর</v>
      </c>
    </row>
    <row r="181">
      <c r="A181" s="6" t="s">
        <v>2266</v>
      </c>
      <c r="B181" s="1">
        <f>IFERROR(__xludf.DUMMYFUNCTION("SPLIT(A181,"","")"),182.0)</f>
        <v>182</v>
      </c>
      <c r="C181" s="1" t="str">
        <f>IFERROR(__xludf.DUMMYFUNCTION("""COMPUTED_VALUE"""),"মোঃ ওসমান আলী")</f>
        <v>মোঃ ওসমান আলী</v>
      </c>
      <c r="D181" s="1">
        <f>IFERROR(__xludf.DUMMYFUNCTION("""COMPUTED_VALUE"""),5.70054375015E11)</f>
        <v>570054375015</v>
      </c>
      <c r="E181" s="1" t="str">
        <f>IFERROR(__xludf.DUMMYFUNCTION("""COMPUTED_VALUE"""),"ফেলু শেখ")</f>
        <v>ফেলু শেখ</v>
      </c>
      <c r="F181" s="1" t="str">
        <f>IFERROR(__xludf.DUMMYFUNCTION("""COMPUTED_VALUE"""),"মোছাঃ ছদিমন নেছা")</f>
        <v>মোছাঃ ছদিমন নেছা</v>
      </c>
      <c r="G181" s="1" t="str">
        <f>IFERROR(__xludf.DUMMYFUNCTION("""COMPUTED_VALUE"""),"০৫/১০/১৯৫৭")</f>
        <v>০৫/১০/১৯৫৭</v>
      </c>
      <c r="H181" s="1" t="str">
        <f>IFERROR(__xludf.DUMMYFUNCTION("""COMPUTED_VALUE"""),"কৃষক")</f>
        <v>কৃষক</v>
      </c>
      <c r="I181" s="1" t="str">
        <f>IFERROR(__xludf.DUMMYFUNCTION("""COMPUTED_VALUE"""),"মহিষাখোলা")</f>
        <v>মহিষাখোলা</v>
      </c>
      <c r="J181" s="1" t="str">
        <f>IFERROR(__xludf.DUMMYFUNCTION("""COMPUTED_VALUE""")," গাংনী")</f>
        <v> গাংনী</v>
      </c>
      <c r="K181" s="1" t="str">
        <f>IFERROR(__xludf.DUMMYFUNCTION("""COMPUTED_VALUE""")," মেহেরপুর")</f>
        <v> মেহেরপুর</v>
      </c>
    </row>
    <row r="182">
      <c r="A182" s="6" t="s">
        <v>2267</v>
      </c>
      <c r="B182" s="1">
        <f>IFERROR(__xludf.DUMMYFUNCTION("SPLIT(A182,"","")"),183.0)</f>
        <v>183</v>
      </c>
      <c r="C182" s="1" t="str">
        <f>IFERROR(__xludf.DUMMYFUNCTION("""COMPUTED_VALUE"""),"মোহাঃ আকিরুল ইসলাম")</f>
        <v>মোহাঃ আকিরুল ইসলাম</v>
      </c>
      <c r="D182" s="1">
        <f>IFERROR(__xludf.DUMMYFUNCTION("""COMPUTED_VALUE"""),5.70054375017E11)</f>
        <v>570054375017</v>
      </c>
      <c r="E182" s="1" t="str">
        <f>IFERROR(__xludf.DUMMYFUNCTION("""COMPUTED_VALUE"""),"মোহাঃ ওসমান আলী")</f>
        <v>মোহাঃ ওসমান আলী</v>
      </c>
      <c r="F182" s="1" t="str">
        <f>IFERROR(__xludf.DUMMYFUNCTION("""COMPUTED_VALUE"""),"মোছাঃ রাফিজা খাতুন")</f>
        <v>মোছাঃ রাফিজা খাতুন</v>
      </c>
      <c r="G182" s="1" t="str">
        <f>IFERROR(__xludf.DUMMYFUNCTION("""COMPUTED_VALUE"""),"১৭/১০/১৯৮৮")</f>
        <v>১৭/১০/১৯৮৮</v>
      </c>
      <c r="H182" s="1" t="str">
        <f>IFERROR(__xludf.DUMMYFUNCTION("""COMPUTED_VALUE"""),"দিনমজুর")</f>
        <v>দিনমজুর</v>
      </c>
      <c r="I182" s="1" t="str">
        <f>IFERROR(__xludf.DUMMYFUNCTION("""COMPUTED_VALUE"""),"মহিষাখোলা")</f>
        <v>মহিষাখোলা</v>
      </c>
      <c r="J182" s="1" t="str">
        <f>IFERROR(__xludf.DUMMYFUNCTION("""COMPUTED_VALUE""")," গাংনী")</f>
        <v> গাংনী</v>
      </c>
      <c r="K182" s="1" t="str">
        <f>IFERROR(__xludf.DUMMYFUNCTION("""COMPUTED_VALUE""")," মেহেরপুর")</f>
        <v> মেহেরপুর</v>
      </c>
    </row>
    <row r="183">
      <c r="A183" s="6" t="s">
        <v>2268</v>
      </c>
      <c r="B183" s="1">
        <f>IFERROR(__xludf.DUMMYFUNCTION("SPLIT(A183,"","")"),184.0)</f>
        <v>184</v>
      </c>
      <c r="C183" s="1" t="str">
        <f>IFERROR(__xludf.DUMMYFUNCTION("""COMPUTED_VALUE"""),"মোহাঃ খলিলুর রহমান")</f>
        <v>মোহাঃ খলিলুর রহমান</v>
      </c>
      <c r="D183" s="1">
        <f>IFERROR(__xludf.DUMMYFUNCTION("""COMPUTED_VALUE"""),5.70054375019E11)</f>
        <v>570054375019</v>
      </c>
      <c r="E183" s="1" t="str">
        <f>IFERROR(__xludf.DUMMYFUNCTION("""COMPUTED_VALUE"""),"শাহাদত শেখ")</f>
        <v>শাহাদত শেখ</v>
      </c>
      <c r="F183" s="1" t="str">
        <f>IFERROR(__xludf.DUMMYFUNCTION("""COMPUTED_VALUE"""),"মোছাঃ টলোজান নেছা")</f>
        <v>মোছাঃ টলোজান নেছা</v>
      </c>
      <c r="G183" s="1" t="str">
        <f>IFERROR(__xludf.DUMMYFUNCTION("""COMPUTED_VALUE"""),"১০/০২/১৯৬৭")</f>
        <v>১০/০২/১৯৬৭</v>
      </c>
      <c r="H183" s="1" t="str">
        <f>IFERROR(__xludf.DUMMYFUNCTION("""COMPUTED_VALUE"""),"কৃষক")</f>
        <v>কৃষক</v>
      </c>
      <c r="I183" s="1" t="str">
        <f>IFERROR(__xludf.DUMMYFUNCTION("""COMPUTED_VALUE"""),"মহিষাখোলা")</f>
        <v>মহিষাখোলা</v>
      </c>
      <c r="J183" s="1" t="str">
        <f>IFERROR(__xludf.DUMMYFUNCTION("""COMPUTED_VALUE""")," গাংনী")</f>
        <v> গাংনী</v>
      </c>
      <c r="K183" s="1" t="str">
        <f>IFERROR(__xludf.DUMMYFUNCTION("""COMPUTED_VALUE""")," মেহেরপুর")</f>
        <v> মেহেরপুর</v>
      </c>
    </row>
    <row r="184">
      <c r="A184" s="6" t="s">
        <v>2269</v>
      </c>
      <c r="B184" s="1">
        <f>IFERROR(__xludf.DUMMYFUNCTION("SPLIT(A184,"","")"),185.0)</f>
        <v>185</v>
      </c>
      <c r="C184" s="1" t="str">
        <f>IFERROR(__xludf.DUMMYFUNCTION("""COMPUTED_VALUE"""),"মোহাঃ তানভীর আহাম্মেদ")</f>
        <v>মোহাঃ তানভীর আহাম্মেদ</v>
      </c>
      <c r="D184" s="1">
        <f>IFERROR(__xludf.DUMMYFUNCTION("""COMPUTED_VALUE"""),5.7005437502E11)</f>
        <v>570054375020</v>
      </c>
      <c r="E184" s="1" t="str">
        <f>IFERROR(__xludf.DUMMYFUNCTION("""COMPUTED_VALUE"""),"মোহাঃ আহমেদ কবীর")</f>
        <v>মোহাঃ আহমেদ কবীর</v>
      </c>
      <c r="F184" s="1" t="str">
        <f>IFERROR(__xludf.DUMMYFUNCTION("""COMPUTED_VALUE"""),"মোছাঃ আঞ্জুমানা খাতুন")</f>
        <v>মোছাঃ আঞ্জুমানা খাতুন</v>
      </c>
      <c r="G184" s="1" t="str">
        <f>IFERROR(__xludf.DUMMYFUNCTION("""COMPUTED_VALUE"""),"০১/০৬/১৯৭৯")</f>
        <v>০১/০৬/১৯৭৯</v>
      </c>
      <c r="H184" s="1" t="str">
        <f>IFERROR(__xludf.DUMMYFUNCTION("""COMPUTED_VALUE"""),"শিক্ষক")</f>
        <v>শিক্ষক</v>
      </c>
      <c r="I184" s="1" t="str">
        <f>IFERROR(__xludf.DUMMYFUNCTION("""COMPUTED_VALUE"""),"মহিষাখোলা")</f>
        <v>মহিষাখোলা</v>
      </c>
      <c r="J184" s="1" t="str">
        <f>IFERROR(__xludf.DUMMYFUNCTION("""COMPUTED_VALUE""")," গাংনী")</f>
        <v> গাংনী</v>
      </c>
      <c r="K184" s="1" t="str">
        <f>IFERROR(__xludf.DUMMYFUNCTION("""COMPUTED_VALUE""")," মেহেরপুর")</f>
        <v> মেহেরপুর</v>
      </c>
    </row>
    <row r="185">
      <c r="A185" s="6" t="s">
        <v>2270</v>
      </c>
      <c r="B185" s="1">
        <f>IFERROR(__xludf.DUMMYFUNCTION("SPLIT(A185,"","")"),186.0)</f>
        <v>186</v>
      </c>
      <c r="C185" s="1" t="str">
        <f>IFERROR(__xludf.DUMMYFUNCTION("""COMPUTED_VALUE"""),"মোঃ রফিকুল ইসলাম")</f>
        <v>মোঃ রফিকুল ইসলাম</v>
      </c>
      <c r="D185" s="1">
        <f>IFERROR(__xludf.DUMMYFUNCTION("""COMPUTED_VALUE"""),5.70054375022E11)</f>
        <v>570054375022</v>
      </c>
      <c r="E185" s="1" t="str">
        <f>IFERROR(__xludf.DUMMYFUNCTION("""COMPUTED_VALUE"""),"শাহাদত হোসেন")</f>
        <v>শাহাদত হোসেন</v>
      </c>
      <c r="F185" s="1" t="str">
        <f>IFERROR(__xludf.DUMMYFUNCTION("""COMPUTED_VALUE"""),"মোছাঃ টলোজান নেছা")</f>
        <v>মোছাঃ টলোজান নেছা</v>
      </c>
      <c r="G185" s="1" t="str">
        <f>IFERROR(__xludf.DUMMYFUNCTION("""COMPUTED_VALUE"""),"২৫/০৮/১৯৬৯")</f>
        <v>২৫/০৮/১৯৬৯</v>
      </c>
      <c r="H185" s="1" t="str">
        <f>IFERROR(__xludf.DUMMYFUNCTION("""COMPUTED_VALUE"""),"ব্যবসা")</f>
        <v>ব্যবসা</v>
      </c>
      <c r="I185" s="1" t="str">
        <f>IFERROR(__xludf.DUMMYFUNCTION("""COMPUTED_VALUE"""),"মহিষাখোলা")</f>
        <v>মহিষাখোলা</v>
      </c>
      <c r="J185" s="1" t="str">
        <f>IFERROR(__xludf.DUMMYFUNCTION("""COMPUTED_VALUE""")," গাংনী")</f>
        <v> গাংনী</v>
      </c>
      <c r="K185" s="1" t="str">
        <f>IFERROR(__xludf.DUMMYFUNCTION("""COMPUTED_VALUE""")," মেহেরপুর")</f>
        <v> মেহেরপুর</v>
      </c>
    </row>
    <row r="186">
      <c r="A186" s="6" t="s">
        <v>2271</v>
      </c>
      <c r="B186" s="1">
        <f>IFERROR(__xludf.DUMMYFUNCTION("SPLIT(A186,"","")"),187.0)</f>
        <v>187</v>
      </c>
      <c r="C186" s="1" t="str">
        <f>IFERROR(__xludf.DUMMYFUNCTION("""COMPUTED_VALUE"""),"মোহাঃ শামীম রেজা")</f>
        <v>মোহাঃ শামীম রেজা</v>
      </c>
      <c r="D186" s="1">
        <f>IFERROR(__xludf.DUMMYFUNCTION("""COMPUTED_VALUE"""),5.70054375023E11)</f>
        <v>570054375023</v>
      </c>
      <c r="E186" s="1" t="str">
        <f>IFERROR(__xludf.DUMMYFUNCTION("""COMPUTED_VALUE"""),"মোহাঃ আব্দুল করিম")</f>
        <v>মোহাঃ আব্দুল করিম</v>
      </c>
      <c r="F186" s="1" t="str">
        <f>IFERROR(__xludf.DUMMYFUNCTION("""COMPUTED_VALUE"""),"মোছাঃ লতিফন নেছা")</f>
        <v>মোছাঃ লতিফন নেছা</v>
      </c>
      <c r="G186" s="1" t="str">
        <f>IFERROR(__xludf.DUMMYFUNCTION("""COMPUTED_VALUE"""),"০৫/০৭/১৯৮০")</f>
        <v>০৫/০৭/১৯৮০</v>
      </c>
      <c r="H186" s="1" t="str">
        <f>IFERROR(__xludf.DUMMYFUNCTION("""COMPUTED_VALUE"""),"ব্যবসা")</f>
        <v>ব্যবসা</v>
      </c>
      <c r="I186" s="1" t="str">
        <f>IFERROR(__xludf.DUMMYFUNCTION("""COMPUTED_VALUE"""),"মহিষাখোলা")</f>
        <v>মহিষাখোলা</v>
      </c>
      <c r="J186" s="1" t="str">
        <f>IFERROR(__xludf.DUMMYFUNCTION("""COMPUTED_VALUE""")," গাংনী")</f>
        <v> গাংনী</v>
      </c>
      <c r="K186" s="1" t="str">
        <f>IFERROR(__xludf.DUMMYFUNCTION("""COMPUTED_VALUE""")," মেহেরপুর")</f>
        <v> মেহেরপুর</v>
      </c>
    </row>
    <row r="187">
      <c r="A187" s="6" t="s">
        <v>2272</v>
      </c>
      <c r="B187" s="1">
        <f>IFERROR(__xludf.DUMMYFUNCTION("SPLIT(A187,"","")"),188.0)</f>
        <v>188</v>
      </c>
      <c r="C187" s="1" t="str">
        <f>IFERROR(__xludf.DUMMYFUNCTION("""COMPUTED_VALUE"""),"মোহাঃ আব্দুল করিম")</f>
        <v>মোহাঃ আব্দুল করিম</v>
      </c>
      <c r="D187" s="1">
        <f>IFERROR(__xludf.DUMMYFUNCTION("""COMPUTED_VALUE"""),5.70054375025E11)</f>
        <v>570054375025</v>
      </c>
      <c r="E187" s="1" t="str">
        <f>IFERROR(__xludf.DUMMYFUNCTION("""COMPUTED_VALUE"""),"শাহাদত শেখ")</f>
        <v>শাহাদত শেখ</v>
      </c>
      <c r="F187" s="1" t="str">
        <f>IFERROR(__xludf.DUMMYFUNCTION("""COMPUTED_VALUE"""),"মোছাঃ টলোজান নেছা")</f>
        <v>মোছাঃ টলোজান নেছা</v>
      </c>
      <c r="G187" s="1" t="str">
        <f>IFERROR(__xludf.DUMMYFUNCTION("""COMPUTED_VALUE"""),"১০/১১/১৯৫৫")</f>
        <v>১০/১১/১৯৫৫</v>
      </c>
      <c r="H187" s="1" t="str">
        <f>IFERROR(__xludf.DUMMYFUNCTION("""COMPUTED_VALUE"""),"ব্যবসা")</f>
        <v>ব্যবসা</v>
      </c>
      <c r="I187" s="1" t="str">
        <f>IFERROR(__xludf.DUMMYFUNCTION("""COMPUTED_VALUE"""),"মহিষাখোলা")</f>
        <v>মহিষাখোলা</v>
      </c>
      <c r="J187" s="1" t="str">
        <f>IFERROR(__xludf.DUMMYFUNCTION("""COMPUTED_VALUE""")," গাংনী")</f>
        <v> গাংনী</v>
      </c>
      <c r="K187" s="1" t="str">
        <f>IFERROR(__xludf.DUMMYFUNCTION("""COMPUTED_VALUE""")," মেহেরপুর")</f>
        <v> মেহেরপুর</v>
      </c>
    </row>
    <row r="188">
      <c r="A188" s="6" t="s">
        <v>2273</v>
      </c>
      <c r="B188" s="1">
        <f>IFERROR(__xludf.DUMMYFUNCTION("SPLIT(A188,"","")"),189.0)</f>
        <v>189</v>
      </c>
      <c r="C188" s="1" t="str">
        <f>IFERROR(__xludf.DUMMYFUNCTION("""COMPUTED_VALUE"""),"মোঃ বারেক আলী")</f>
        <v>মোঃ বারেক আলী</v>
      </c>
      <c r="D188" s="1">
        <f>IFERROR(__xludf.DUMMYFUNCTION("""COMPUTED_VALUE"""),5.70054375026E11)</f>
        <v>570054375026</v>
      </c>
      <c r="E188" s="1" t="str">
        <f>IFERROR(__xludf.DUMMYFUNCTION("""COMPUTED_VALUE"""),"মোহাঃ আব্দুর রহমান")</f>
        <v>মোহাঃ আব্দুর রহমান</v>
      </c>
      <c r="F188" s="1" t="str">
        <f>IFERROR(__xludf.DUMMYFUNCTION("""COMPUTED_VALUE"""),"মোছাঃ নিমিজান")</f>
        <v>মোছাঃ নিমিজান</v>
      </c>
      <c r="G188" s="1" t="str">
        <f>IFERROR(__xludf.DUMMYFUNCTION("""COMPUTED_VALUE"""),"০৩/০৬/১৯৬৮")</f>
        <v>০৩/০৬/১৯৬৮</v>
      </c>
      <c r="H188" s="1" t="str">
        <f>IFERROR(__xludf.DUMMYFUNCTION("""COMPUTED_VALUE"""),"কৃষক")</f>
        <v>কৃষক</v>
      </c>
      <c r="I188" s="1" t="str">
        <f>IFERROR(__xludf.DUMMYFUNCTION("""COMPUTED_VALUE"""),"মহিষাখোলা")</f>
        <v>মহিষাখোলা</v>
      </c>
      <c r="J188" s="1" t="str">
        <f>IFERROR(__xludf.DUMMYFUNCTION("""COMPUTED_VALUE""")," গাংনী")</f>
        <v> গাংনী</v>
      </c>
      <c r="K188" s="1" t="str">
        <f>IFERROR(__xludf.DUMMYFUNCTION("""COMPUTED_VALUE""")," মেহেরপুর")</f>
        <v> মেহেরপুর</v>
      </c>
    </row>
    <row r="189">
      <c r="A189" s="6" t="s">
        <v>2274</v>
      </c>
      <c r="B189" s="1">
        <f>IFERROR(__xludf.DUMMYFUNCTION("SPLIT(A189,"","")"),190.0)</f>
        <v>190</v>
      </c>
      <c r="C189" s="1" t="str">
        <f>IFERROR(__xludf.DUMMYFUNCTION("""COMPUTED_VALUE"""),"মোঃ মোফাজ্জেল হোসেন")</f>
        <v>মোঃ মোফাজ্জেল হোসেন</v>
      </c>
      <c r="D189" s="1">
        <f>IFERROR(__xludf.DUMMYFUNCTION("""COMPUTED_VALUE"""),5.70054375027E11)</f>
        <v>570054375027</v>
      </c>
      <c r="E189" s="1" t="str">
        <f>IFERROR(__xludf.DUMMYFUNCTION("""COMPUTED_VALUE"""),"মোহাঃ আব্দুর রহমান")</f>
        <v>মোহাঃ আব্দুর রহমান</v>
      </c>
      <c r="F189" s="1" t="str">
        <f>IFERROR(__xludf.DUMMYFUNCTION("""COMPUTED_VALUE"""),"মোছাঃ নিমিজান নেছা")</f>
        <v>মোছাঃ নিমিজান নেছা</v>
      </c>
      <c r="G189" s="1" t="str">
        <f>IFERROR(__xludf.DUMMYFUNCTION("""COMPUTED_VALUE"""),"০৩/০৬/১৯৮০")</f>
        <v>০৩/০৬/১৯৮০</v>
      </c>
      <c r="H189" s="1" t="str">
        <f>IFERROR(__xludf.DUMMYFUNCTION("""COMPUTED_VALUE"""),"কৃষক")</f>
        <v>কৃষক</v>
      </c>
      <c r="I189" s="1" t="str">
        <f>IFERROR(__xludf.DUMMYFUNCTION("""COMPUTED_VALUE"""),"মহিষাখোলা")</f>
        <v>মহিষাখোলা</v>
      </c>
      <c r="J189" s="1" t="str">
        <f>IFERROR(__xludf.DUMMYFUNCTION("""COMPUTED_VALUE""")," গাংনী")</f>
        <v> গাংনী</v>
      </c>
      <c r="K189" s="1" t="str">
        <f>IFERROR(__xludf.DUMMYFUNCTION("""COMPUTED_VALUE""")," মেহেরপুর")</f>
        <v> মেহেরপুর</v>
      </c>
    </row>
    <row r="190">
      <c r="A190" s="6" t="s">
        <v>2275</v>
      </c>
      <c r="B190" s="1">
        <f>IFERROR(__xludf.DUMMYFUNCTION("SPLIT(A190,"","")"),191.0)</f>
        <v>191</v>
      </c>
      <c r="C190" s="1" t="str">
        <f>IFERROR(__xludf.DUMMYFUNCTION("""COMPUTED_VALUE"""),"মোহাঃ আব্দুর রহমান")</f>
        <v>মোহাঃ আব্দুর রহমান</v>
      </c>
      <c r="D190" s="1">
        <f>IFERROR(__xludf.DUMMYFUNCTION("""COMPUTED_VALUE"""),5.70054375031E11)</f>
        <v>570054375031</v>
      </c>
      <c r="E190" s="1" t="str">
        <f>IFERROR(__xludf.DUMMYFUNCTION("""COMPUTED_VALUE"""),"মোজাহায় আলী")</f>
        <v>মোজাহায় আলী</v>
      </c>
      <c r="F190" s="1" t="str">
        <f>IFERROR(__xludf.DUMMYFUNCTION("""COMPUTED_VALUE"""),"মোছাঃ আবেদা খাতুন")</f>
        <v>মোছাঃ আবেদা খাতুন</v>
      </c>
      <c r="G190" s="1" t="str">
        <f>IFERROR(__xludf.DUMMYFUNCTION("""COMPUTED_VALUE"""),"০৫/০৬/১৯৪০")</f>
        <v>০৫/০৬/১৯৪০</v>
      </c>
      <c r="H190" s="1" t="str">
        <f>IFERROR(__xludf.DUMMYFUNCTION("""COMPUTED_VALUE"""),"কৃষক")</f>
        <v>কৃষক</v>
      </c>
      <c r="I190" s="1" t="str">
        <f>IFERROR(__xludf.DUMMYFUNCTION("""COMPUTED_VALUE"""),"মহিষাখোলা")</f>
        <v>মহিষাখোলা</v>
      </c>
      <c r="J190" s="1" t="str">
        <f>IFERROR(__xludf.DUMMYFUNCTION("""COMPUTED_VALUE""")," গাংনী")</f>
        <v> গাংনী</v>
      </c>
      <c r="K190" s="1" t="str">
        <f>IFERROR(__xludf.DUMMYFUNCTION("""COMPUTED_VALUE""")," মেহেরপুর")</f>
        <v> মেহেরপুর</v>
      </c>
    </row>
    <row r="191">
      <c r="A191" s="6" t="s">
        <v>2276</v>
      </c>
      <c r="B191" s="1">
        <f>IFERROR(__xludf.DUMMYFUNCTION("SPLIT(A191,"","")"),192.0)</f>
        <v>192</v>
      </c>
      <c r="C191" s="1" t="str">
        <f>IFERROR(__xludf.DUMMYFUNCTION("""COMPUTED_VALUE"""),"মোহাঃ আক্তারুল ইসলাম")</f>
        <v>মোহাঃ আক্তারুল ইসলাম</v>
      </c>
      <c r="D191" s="1">
        <f>IFERROR(__xludf.DUMMYFUNCTION("""COMPUTED_VALUE"""),5.70054375038E11)</f>
        <v>570054375038</v>
      </c>
      <c r="E191" s="1" t="str">
        <f>IFERROR(__xludf.DUMMYFUNCTION("""COMPUTED_VALUE"""),"মোহাঃ ফুলচুর আলী")</f>
        <v>মোহাঃ ফুলচুর আলী</v>
      </c>
      <c r="F191" s="1" t="str">
        <f>IFERROR(__xludf.DUMMYFUNCTION("""COMPUTED_VALUE"""),"মোছাঃ মনোয়ারা খাতুন")</f>
        <v>মোছাঃ মনোয়ারা খাতুন</v>
      </c>
      <c r="G191" s="1" t="str">
        <f>IFERROR(__xludf.DUMMYFUNCTION("""COMPUTED_VALUE"""),"১০/০৯/১৯৮৭")</f>
        <v>১০/০৯/১৯৮৭</v>
      </c>
      <c r="H191" s="1" t="str">
        <f>IFERROR(__xludf.DUMMYFUNCTION("""COMPUTED_VALUE"""),"দিনমজুর")</f>
        <v>দিনমজুর</v>
      </c>
      <c r="I191" s="1" t="str">
        <f>IFERROR(__xludf.DUMMYFUNCTION("""COMPUTED_VALUE"""),"মহিষাখোলা")</f>
        <v>মহিষাখোলা</v>
      </c>
      <c r="J191" s="1" t="str">
        <f>IFERROR(__xludf.DUMMYFUNCTION("""COMPUTED_VALUE""")," গাংনী")</f>
        <v> গাংনী</v>
      </c>
      <c r="K191" s="1" t="str">
        <f>IFERROR(__xludf.DUMMYFUNCTION("""COMPUTED_VALUE""")," মেহেরপুর")</f>
        <v> মেহেরপুর</v>
      </c>
    </row>
    <row r="192">
      <c r="A192" s="6" t="s">
        <v>2277</v>
      </c>
      <c r="B192" s="1">
        <f>IFERROR(__xludf.DUMMYFUNCTION("SPLIT(A192,"","")"),193.0)</f>
        <v>193</v>
      </c>
      <c r="C192" s="1" t="str">
        <f>IFERROR(__xludf.DUMMYFUNCTION("""COMPUTED_VALUE"""),"মোঃ আপেল আলী")</f>
        <v>মোঃ আপেল আলী</v>
      </c>
      <c r="D192" s="1">
        <f>IFERROR(__xludf.DUMMYFUNCTION("""COMPUTED_VALUE"""),5.70054375041E11)</f>
        <v>570054375041</v>
      </c>
      <c r="E192" s="1" t="str">
        <f>IFERROR(__xludf.DUMMYFUNCTION("""COMPUTED_VALUE"""),"মোহাঃ মেহের আলী")</f>
        <v>মোহাঃ মেহের আলী</v>
      </c>
      <c r="F192" s="1" t="str">
        <f>IFERROR(__xludf.DUMMYFUNCTION("""COMPUTED_VALUE"""),"মোছাঃ হাসেনা খাতুন")</f>
        <v>মোছাঃ হাসেনা খাতুন</v>
      </c>
      <c r="G192" s="1" t="str">
        <f>IFERROR(__xludf.DUMMYFUNCTION("""COMPUTED_VALUE"""),"১৫/০৮/১৯৮৮")</f>
        <v>১৫/০৮/১৯৮৮</v>
      </c>
      <c r="H192" s="1" t="str">
        <f>IFERROR(__xludf.DUMMYFUNCTION("""COMPUTED_VALUE"""),"মিস্ত্রী")</f>
        <v>মিস্ত্রী</v>
      </c>
      <c r="I192" s="1" t="str">
        <f>IFERROR(__xludf.DUMMYFUNCTION("""COMPUTED_VALUE"""),"মহিষাখোলা")</f>
        <v>মহিষাখোলা</v>
      </c>
      <c r="J192" s="1" t="str">
        <f>IFERROR(__xludf.DUMMYFUNCTION("""COMPUTED_VALUE""")," গাংনী")</f>
        <v> গাংনী</v>
      </c>
      <c r="K192" s="1" t="str">
        <f>IFERROR(__xludf.DUMMYFUNCTION("""COMPUTED_VALUE""")," মেহেরপুর")</f>
        <v> মেহেরপুর</v>
      </c>
    </row>
    <row r="193">
      <c r="A193" s="6" t="s">
        <v>2278</v>
      </c>
      <c r="B193" s="1">
        <f>IFERROR(__xludf.DUMMYFUNCTION("SPLIT(A193,"","")"),194.0)</f>
        <v>194</v>
      </c>
      <c r="C193" s="1" t="str">
        <f>IFERROR(__xludf.DUMMYFUNCTION("""COMPUTED_VALUE"""),"মোঃ আব্দুল জলিল")</f>
        <v>মোঃ আব্দুল জলিল</v>
      </c>
      <c r="D193" s="1">
        <f>IFERROR(__xludf.DUMMYFUNCTION("""COMPUTED_VALUE"""),5.70054375044E11)</f>
        <v>570054375044</v>
      </c>
      <c r="E193" s="1" t="str">
        <f>IFERROR(__xludf.DUMMYFUNCTION("""COMPUTED_VALUE"""),"শাহাদত শেখ")</f>
        <v>শাহাদত শেখ</v>
      </c>
      <c r="F193" s="1" t="str">
        <f>IFERROR(__xludf.DUMMYFUNCTION("""COMPUTED_VALUE"""),"মোছাঃ টলোজান নেছা")</f>
        <v>মোছাঃ টলোজান নেছা</v>
      </c>
      <c r="G193" s="1" t="str">
        <f>IFERROR(__xludf.DUMMYFUNCTION("""COMPUTED_VALUE"""),"১৫/১০/১৯৬২")</f>
        <v>১৫/১০/১৯৬২</v>
      </c>
      <c r="H193" s="1" t="str">
        <f>IFERROR(__xludf.DUMMYFUNCTION("""COMPUTED_VALUE"""),"কৃষক")</f>
        <v>কৃষক</v>
      </c>
      <c r="I193" s="1" t="str">
        <f>IFERROR(__xludf.DUMMYFUNCTION("""COMPUTED_VALUE"""),"মহিষাখোলা")</f>
        <v>মহিষাখোলা</v>
      </c>
      <c r="J193" s="1" t="str">
        <f>IFERROR(__xludf.DUMMYFUNCTION("""COMPUTED_VALUE""")," গাংনী")</f>
        <v> গাংনী</v>
      </c>
      <c r="K193" s="1" t="str">
        <f>IFERROR(__xludf.DUMMYFUNCTION("""COMPUTED_VALUE""")," মেহেরপুর")</f>
        <v> মেহেরপুর</v>
      </c>
    </row>
    <row r="194">
      <c r="A194" s="6" t="s">
        <v>2279</v>
      </c>
      <c r="B194" s="1">
        <f>IFERROR(__xludf.DUMMYFUNCTION("SPLIT(A194,"","")"),195.0)</f>
        <v>195</v>
      </c>
      <c r="C194" s="1" t="str">
        <f>IFERROR(__xludf.DUMMYFUNCTION("""COMPUTED_VALUE"""),"মোহাঃ আবুল বাসার")</f>
        <v>মোহাঃ আবুল বাসার</v>
      </c>
      <c r="D194" s="1">
        <f>IFERROR(__xludf.DUMMYFUNCTION("""COMPUTED_VALUE"""),5.70054375045E11)</f>
        <v>570054375045</v>
      </c>
      <c r="E194" s="1" t="str">
        <f>IFERROR(__xludf.DUMMYFUNCTION("""COMPUTED_VALUE"""),"আহাদ আলী শেখ")</f>
        <v>আহাদ আলী শেখ</v>
      </c>
      <c r="F194" s="1" t="str">
        <f>IFERROR(__xludf.DUMMYFUNCTION("""COMPUTED_VALUE"""),"মোছাঃ আছিয়া খাতুন")</f>
        <v>মোছাঃ আছিয়া খাতুন</v>
      </c>
      <c r="G194" s="1" t="str">
        <f>IFERROR(__xludf.DUMMYFUNCTION("""COMPUTED_VALUE"""),"৩০/০৯/১৯৫৫")</f>
        <v>৩০/০৯/১৯৫৫</v>
      </c>
      <c r="H194" s="1" t="str">
        <f>IFERROR(__xludf.DUMMYFUNCTION("""COMPUTED_VALUE"""),"কৃষক")</f>
        <v>কৃষক</v>
      </c>
      <c r="I194" s="1" t="str">
        <f>IFERROR(__xludf.DUMMYFUNCTION("""COMPUTED_VALUE"""),"মহিষাখোলা")</f>
        <v>মহিষাখোলা</v>
      </c>
      <c r="J194" s="1" t="str">
        <f>IFERROR(__xludf.DUMMYFUNCTION("""COMPUTED_VALUE""")," গাংনী")</f>
        <v> গাংনী</v>
      </c>
      <c r="K194" s="1" t="str">
        <f>IFERROR(__xludf.DUMMYFUNCTION("""COMPUTED_VALUE""")," মেহেরপুর")</f>
        <v> মেহেরপুর</v>
      </c>
    </row>
    <row r="195">
      <c r="A195" s="6" t="s">
        <v>2280</v>
      </c>
      <c r="B195" s="1">
        <f>IFERROR(__xludf.DUMMYFUNCTION("SPLIT(A195,"","")"),196.0)</f>
        <v>196</v>
      </c>
      <c r="C195" s="1" t="str">
        <f>IFERROR(__xludf.DUMMYFUNCTION("""COMPUTED_VALUE"""),"মোহাঃ ইনাকুল ইসলাম")</f>
        <v>মোহাঃ ইনাকুল ইসলাম</v>
      </c>
      <c r="D195" s="1">
        <f>IFERROR(__xludf.DUMMYFUNCTION("""COMPUTED_VALUE"""),5.70054375049E11)</f>
        <v>570054375049</v>
      </c>
      <c r="E195" s="1" t="str">
        <f>IFERROR(__xludf.DUMMYFUNCTION("""COMPUTED_VALUE"""),"মোহাঃ হাসেম আলী")</f>
        <v>মোহাঃ হাসেম আলী</v>
      </c>
      <c r="F195" s="1" t="str">
        <f>IFERROR(__xludf.DUMMYFUNCTION("""COMPUTED_VALUE"""),"মোছাঃ আছিয়া খাতুন")</f>
        <v>মোছাঃ আছিয়া খাতুন</v>
      </c>
      <c r="G195" s="1" t="str">
        <f>IFERROR(__xludf.DUMMYFUNCTION("""COMPUTED_VALUE"""),"০৬/০৮/১৯৮১")</f>
        <v>০৬/০৮/১৯৮১</v>
      </c>
      <c r="H195" s="1" t="str">
        <f>IFERROR(__xludf.DUMMYFUNCTION("""COMPUTED_VALUE"""),"দিনমজুর")</f>
        <v>দিনমজুর</v>
      </c>
      <c r="I195" s="1" t="str">
        <f>IFERROR(__xludf.DUMMYFUNCTION("""COMPUTED_VALUE"""),"মহিষাখোলা")</f>
        <v>মহিষাখোলা</v>
      </c>
      <c r="J195" s="1" t="str">
        <f>IFERROR(__xludf.DUMMYFUNCTION("""COMPUTED_VALUE""")," গাংনী")</f>
        <v> গাংনী</v>
      </c>
      <c r="K195" s="1" t="str">
        <f>IFERROR(__xludf.DUMMYFUNCTION("""COMPUTED_VALUE""")," মেহেরপুর")</f>
        <v> মেহেরপুর</v>
      </c>
    </row>
    <row r="196">
      <c r="A196" s="6" t="s">
        <v>2281</v>
      </c>
      <c r="B196" s="1">
        <f>IFERROR(__xludf.DUMMYFUNCTION("SPLIT(A196,"","")"),197.0)</f>
        <v>197</v>
      </c>
      <c r="C196" s="1" t="str">
        <f>IFERROR(__xludf.DUMMYFUNCTION("""COMPUTED_VALUE"""),"মোহাঃ মেহের আলী")</f>
        <v>মোহাঃ মেহের আলী</v>
      </c>
      <c r="D196" s="1">
        <f>IFERROR(__xludf.DUMMYFUNCTION("""COMPUTED_VALUE"""),5.7005437505E11)</f>
        <v>570054375050</v>
      </c>
      <c r="E196" s="1" t="str">
        <f>IFERROR(__xludf.DUMMYFUNCTION("""COMPUTED_VALUE"""),"মোজাহার মন্ডল")</f>
        <v>মোজাহার মন্ডল</v>
      </c>
      <c r="F196" s="1" t="str">
        <f>IFERROR(__xludf.DUMMYFUNCTION("""COMPUTED_VALUE"""),"মোছাঃ আবেদা খাতুন")</f>
        <v>মোছাঃ আবেদা খাতুন</v>
      </c>
      <c r="G196" s="1" t="str">
        <f>IFERROR(__xludf.DUMMYFUNCTION("""COMPUTED_VALUE"""),"১০/০৪/১৯৪২")</f>
        <v>১০/০৪/১৯৪২</v>
      </c>
      <c r="H196" s="1" t="str">
        <f>IFERROR(__xludf.DUMMYFUNCTION("""COMPUTED_VALUE"""),"দিনমজুর")</f>
        <v>দিনমজুর</v>
      </c>
      <c r="I196" s="1" t="str">
        <f>IFERROR(__xludf.DUMMYFUNCTION("""COMPUTED_VALUE"""),"মহিষাখোলা")</f>
        <v>মহিষাখোলা</v>
      </c>
      <c r="J196" s="1" t="str">
        <f>IFERROR(__xludf.DUMMYFUNCTION("""COMPUTED_VALUE""")," গাংনী")</f>
        <v> গাংনী</v>
      </c>
      <c r="K196" s="1" t="str">
        <f>IFERROR(__xludf.DUMMYFUNCTION("""COMPUTED_VALUE""")," মেহেরপুর")</f>
        <v> মেহেরপুর</v>
      </c>
    </row>
    <row r="197">
      <c r="A197" s="6" t="s">
        <v>2282</v>
      </c>
      <c r="B197" s="1">
        <f>IFERROR(__xludf.DUMMYFUNCTION("SPLIT(A197,"","")"),198.0)</f>
        <v>198</v>
      </c>
      <c r="C197" s="1" t="str">
        <f>IFERROR(__xludf.DUMMYFUNCTION("""COMPUTED_VALUE"""),"মোঃ জিনারুল ইসলাম")</f>
        <v>মোঃ জিনারুল ইসলাম</v>
      </c>
      <c r="D197" s="1">
        <f>IFERROR(__xludf.DUMMYFUNCTION("""COMPUTED_VALUE"""),5.70054375052E11)</f>
        <v>570054375052</v>
      </c>
      <c r="E197" s="1" t="str">
        <f>IFERROR(__xludf.DUMMYFUNCTION("""COMPUTED_VALUE"""),"মোহাঃ হাসেম আলী")</f>
        <v>মোহাঃ হাসেম আলী</v>
      </c>
      <c r="F197" s="1" t="str">
        <f>IFERROR(__xludf.DUMMYFUNCTION("""COMPUTED_VALUE"""),"মোছাঃ আছিয়া খাতুন")</f>
        <v>মোছাঃ আছিয়া খাতুন</v>
      </c>
      <c r="G197" s="1" t="str">
        <f>IFERROR(__xludf.DUMMYFUNCTION("""COMPUTED_VALUE"""),"২৪/০২/১৯৮৬")</f>
        <v>২৪/০২/১৯৮৬</v>
      </c>
      <c r="H197" s="1" t="str">
        <f>IFERROR(__xludf.DUMMYFUNCTION("""COMPUTED_VALUE"""),"দর্জি")</f>
        <v>দর্জি</v>
      </c>
      <c r="I197" s="1" t="str">
        <f>IFERROR(__xludf.DUMMYFUNCTION("""COMPUTED_VALUE"""),"মহিষাখোলা")</f>
        <v>মহিষাখোলা</v>
      </c>
      <c r="J197" s="1" t="str">
        <f>IFERROR(__xludf.DUMMYFUNCTION("""COMPUTED_VALUE""")," গাংনী")</f>
        <v> গাংনী</v>
      </c>
      <c r="K197" s="1" t="str">
        <f>IFERROR(__xludf.DUMMYFUNCTION("""COMPUTED_VALUE""")," মেহেরপুর")</f>
        <v> মেহেরপুর</v>
      </c>
    </row>
    <row r="198">
      <c r="A198" s="6" t="s">
        <v>2283</v>
      </c>
      <c r="B198" s="1">
        <f>IFERROR(__xludf.DUMMYFUNCTION("SPLIT(A198,"","")"),199.0)</f>
        <v>199</v>
      </c>
      <c r="C198" s="1" t="str">
        <f>IFERROR(__xludf.DUMMYFUNCTION("""COMPUTED_VALUE"""),"মোহাঃ মহিবুল ইসলাম")</f>
        <v>মোহাঃ মহিবুল ইসলাম</v>
      </c>
      <c r="D198" s="1">
        <f>IFERROR(__xludf.DUMMYFUNCTION("""COMPUTED_VALUE"""),5.70054375053E11)</f>
        <v>570054375053</v>
      </c>
      <c r="E198" s="1" t="str">
        <f>IFERROR(__xludf.DUMMYFUNCTION("""COMPUTED_VALUE"""),"মোহাঃ হাসেম আলি")</f>
        <v>মোহাঃ হাসেম আলি</v>
      </c>
      <c r="F198" s="1" t="str">
        <f>IFERROR(__xludf.DUMMYFUNCTION("""COMPUTED_VALUE"""),"মোছাঃ আছিয়া খাতুন")</f>
        <v>মোছাঃ আছিয়া খাতুন</v>
      </c>
      <c r="G198" s="1" t="str">
        <f>IFERROR(__xludf.DUMMYFUNCTION("""COMPUTED_VALUE"""),"১১/১১/১৯৮০")</f>
        <v>১১/১১/১৯৮০</v>
      </c>
      <c r="H198" s="1" t="str">
        <f>IFERROR(__xludf.DUMMYFUNCTION("""COMPUTED_VALUE"""),"কৃষক")</f>
        <v>কৃষক</v>
      </c>
      <c r="I198" s="1" t="str">
        <f>IFERROR(__xludf.DUMMYFUNCTION("""COMPUTED_VALUE"""),"মহিষাখোলা")</f>
        <v>মহিষাখোলা</v>
      </c>
      <c r="J198" s="1" t="str">
        <f>IFERROR(__xludf.DUMMYFUNCTION("""COMPUTED_VALUE""")," গাংনী")</f>
        <v> গাংনী</v>
      </c>
      <c r="K198" s="1" t="str">
        <f>IFERROR(__xludf.DUMMYFUNCTION("""COMPUTED_VALUE""")," মেহেরপুর")</f>
        <v> মেহেরপুর</v>
      </c>
    </row>
    <row r="199">
      <c r="A199" s="6" t="s">
        <v>2284</v>
      </c>
      <c r="B199" s="1">
        <f>IFERROR(__xludf.DUMMYFUNCTION("SPLIT(A199,"","")"),200.0)</f>
        <v>200</v>
      </c>
      <c r="C199" s="1" t="str">
        <f>IFERROR(__xludf.DUMMYFUNCTION("""COMPUTED_VALUE"""),"মোহাঃ মোজাম্মেল হক")</f>
        <v>মোহাঃ মোজাম্মেল হক</v>
      </c>
      <c r="D199" s="1">
        <f>IFERROR(__xludf.DUMMYFUNCTION("""COMPUTED_VALUE"""),5.70054375054E11)</f>
        <v>570054375054</v>
      </c>
      <c r="E199" s="1" t="str">
        <f>IFERROR(__xludf.DUMMYFUNCTION("""COMPUTED_VALUE"""),"মোফাজ্জেল-অর-রশিদ")</f>
        <v>মোফাজ্জেল-অর-রশিদ</v>
      </c>
      <c r="F199" s="1" t="str">
        <f>IFERROR(__xludf.DUMMYFUNCTION("""COMPUTED_VALUE"""),"মোছাঃ আছিয়া খাতুন")</f>
        <v>মোছাঃ আছিয়া খাতুন</v>
      </c>
      <c r="G199" s="1" t="str">
        <f>IFERROR(__xludf.DUMMYFUNCTION("""COMPUTED_VALUE"""),"১০/১২/১৯৬০")</f>
        <v>১০/১২/১৯৬০</v>
      </c>
      <c r="H199" s="1" t="str">
        <f>IFERROR(__xludf.DUMMYFUNCTION("""COMPUTED_VALUE"""),"দিনমজুর")</f>
        <v>দিনমজুর</v>
      </c>
      <c r="I199" s="1" t="str">
        <f>IFERROR(__xludf.DUMMYFUNCTION("""COMPUTED_VALUE"""),"মহিষাখোলা")</f>
        <v>মহিষাখোলা</v>
      </c>
      <c r="J199" s="1" t="str">
        <f>IFERROR(__xludf.DUMMYFUNCTION("""COMPUTED_VALUE""")," গাংনী")</f>
        <v> গাংনী</v>
      </c>
      <c r="K199" s="1" t="str">
        <f>IFERROR(__xludf.DUMMYFUNCTION("""COMPUTED_VALUE""")," মেহেরপুর")</f>
        <v> মেহেরপুর</v>
      </c>
    </row>
    <row r="200">
      <c r="A200" s="6" t="s">
        <v>2285</v>
      </c>
      <c r="B200" s="1">
        <f>IFERROR(__xludf.DUMMYFUNCTION("SPLIT(A200,"","")"),201.0)</f>
        <v>201</v>
      </c>
      <c r="C200" s="1" t="str">
        <f>IFERROR(__xludf.DUMMYFUNCTION("""COMPUTED_VALUE"""),"মোহাঃ কাউছার আলী")</f>
        <v>মোহাঃ কাউছার আলী</v>
      </c>
      <c r="D200" s="1">
        <f>IFERROR(__xludf.DUMMYFUNCTION("""COMPUTED_VALUE"""),5.70054375055E11)</f>
        <v>570054375055</v>
      </c>
      <c r="E200" s="1" t="str">
        <f>IFERROR(__xludf.DUMMYFUNCTION("""COMPUTED_VALUE"""),"হারুন-অর-রশিদ")</f>
        <v>হারুন-অর-রশিদ</v>
      </c>
      <c r="F200" s="1" t="str">
        <f>IFERROR(__xludf.DUMMYFUNCTION("""COMPUTED_VALUE"""),"মোছাঃ খাতেমা খাতুন")</f>
        <v>মোছাঃ খাতেমা খাতুন</v>
      </c>
      <c r="G200" s="1" t="str">
        <f>IFERROR(__xludf.DUMMYFUNCTION("""COMPUTED_VALUE"""),"১০/০৮/১৯৭২")</f>
        <v>১০/০৮/১৯৭২</v>
      </c>
      <c r="H200" s="1" t="str">
        <f>IFERROR(__xludf.DUMMYFUNCTION("""COMPUTED_VALUE"""),"মিস্ত্রী")</f>
        <v>মিস্ত্রী</v>
      </c>
      <c r="I200" s="1" t="str">
        <f>IFERROR(__xludf.DUMMYFUNCTION("""COMPUTED_VALUE"""),"মহিষাখোলা")</f>
        <v>মহিষাখোলা</v>
      </c>
      <c r="J200" s="1" t="str">
        <f>IFERROR(__xludf.DUMMYFUNCTION("""COMPUTED_VALUE""")," গাংনী")</f>
        <v> গাংনী</v>
      </c>
      <c r="K200" s="1" t="str">
        <f>IFERROR(__xludf.DUMMYFUNCTION("""COMPUTED_VALUE""")," মেহেরপুর")</f>
        <v> মেহেরপুর</v>
      </c>
    </row>
    <row r="201">
      <c r="A201" s="6" t="s">
        <v>2286</v>
      </c>
      <c r="B201" s="1">
        <f>IFERROR(__xludf.DUMMYFUNCTION("SPLIT(A201,"","")"),202.0)</f>
        <v>202</v>
      </c>
      <c r="C201" s="1" t="str">
        <f>IFERROR(__xludf.DUMMYFUNCTION("""COMPUTED_VALUE"""),"মোঃ মানিক আলি")</f>
        <v>মোঃ মানিক আলি</v>
      </c>
      <c r="D201" s="1">
        <f>IFERROR(__xludf.DUMMYFUNCTION("""COMPUTED_VALUE"""),5.70054375056E11)</f>
        <v>570054375056</v>
      </c>
      <c r="E201" s="1" t="str">
        <f>IFERROR(__xludf.DUMMYFUNCTION("""COMPUTED_VALUE"""),"সিরাজ উদ্দিন শেখ")</f>
        <v>সিরাজ উদ্দিন শেখ</v>
      </c>
      <c r="F201" s="1" t="str">
        <f>IFERROR(__xludf.DUMMYFUNCTION("""COMPUTED_VALUE"""),"মোছাঃ সাহেরা খাতুন")</f>
        <v>মোছাঃ সাহেরা খাতুন</v>
      </c>
      <c r="G201" s="1" t="str">
        <f>IFERROR(__xludf.DUMMYFUNCTION("""COMPUTED_VALUE"""),"১৮/১০/১৯৭৭")</f>
        <v>১৮/১০/১৯৭৭</v>
      </c>
      <c r="H201" s="1" t="str">
        <f>IFERROR(__xludf.DUMMYFUNCTION("""COMPUTED_VALUE"""),"মিস্ত্রী")</f>
        <v>মিস্ত্রী</v>
      </c>
      <c r="I201" s="1" t="str">
        <f>IFERROR(__xludf.DUMMYFUNCTION("""COMPUTED_VALUE"""),"মহিষাখোলা")</f>
        <v>মহিষাখোলা</v>
      </c>
      <c r="J201" s="1" t="str">
        <f>IFERROR(__xludf.DUMMYFUNCTION("""COMPUTED_VALUE""")," গাংনী")</f>
        <v> গাংনী</v>
      </c>
      <c r="K201" s="1" t="str">
        <f>IFERROR(__xludf.DUMMYFUNCTION("""COMPUTED_VALUE""")," মেহেরপুর")</f>
        <v> মেহেরপুর</v>
      </c>
    </row>
    <row r="202">
      <c r="A202" s="6" t="s">
        <v>2287</v>
      </c>
      <c r="B202" s="1">
        <f>IFERROR(__xludf.DUMMYFUNCTION("SPLIT(A202,"","")"),203.0)</f>
        <v>203</v>
      </c>
      <c r="C202" s="1" t="str">
        <f>IFERROR(__xludf.DUMMYFUNCTION("""COMPUTED_VALUE"""),"মোঃ ফুলচুর আলী")</f>
        <v>মোঃ ফুলচুর আলী</v>
      </c>
      <c r="D202" s="1">
        <f>IFERROR(__xludf.DUMMYFUNCTION("""COMPUTED_VALUE"""),5.70054375057E11)</f>
        <v>570054375057</v>
      </c>
      <c r="E202" s="1" t="str">
        <f>IFERROR(__xludf.DUMMYFUNCTION("""COMPUTED_VALUE"""),"জুবান খামারু")</f>
        <v>জুবান খামারু</v>
      </c>
      <c r="F202" s="1" t="str">
        <f>IFERROR(__xludf.DUMMYFUNCTION("""COMPUTED_VALUE"""),"মোছাঃ সায়বন নাহার")</f>
        <v>মোছাঃ সায়বন নাহার</v>
      </c>
      <c r="G202" s="1" t="str">
        <f>IFERROR(__xludf.DUMMYFUNCTION("""COMPUTED_VALUE"""),"১০/০৯/১৯৫৭")</f>
        <v>১০/০৯/১৯৫৭</v>
      </c>
      <c r="H202" s="1" t="str">
        <f>IFERROR(__xludf.DUMMYFUNCTION("""COMPUTED_VALUE"""),"কৃষক")</f>
        <v>কৃষক</v>
      </c>
      <c r="I202" s="1" t="str">
        <f>IFERROR(__xludf.DUMMYFUNCTION("""COMPUTED_VALUE"""),"মহিষাখোলা")</f>
        <v>মহিষাখোলা</v>
      </c>
      <c r="J202" s="1" t="str">
        <f>IFERROR(__xludf.DUMMYFUNCTION("""COMPUTED_VALUE""")," গাংনী")</f>
        <v> গাংনী</v>
      </c>
      <c r="K202" s="1" t="str">
        <f>IFERROR(__xludf.DUMMYFUNCTION("""COMPUTED_VALUE""")," মেহেরপুর")</f>
        <v> মেহেরপুর</v>
      </c>
    </row>
    <row r="203">
      <c r="A203" s="6" t="s">
        <v>2288</v>
      </c>
      <c r="B203" s="1">
        <f>IFERROR(__xludf.DUMMYFUNCTION("SPLIT(A203,"","")"),204.0)</f>
        <v>204</v>
      </c>
      <c r="C203" s="1" t="str">
        <f>IFERROR(__xludf.DUMMYFUNCTION("""COMPUTED_VALUE"""),"মোহাঃ সাবুর আলী")</f>
        <v>মোহাঃ সাবুর আলী</v>
      </c>
      <c r="D203" s="1">
        <f>IFERROR(__xludf.DUMMYFUNCTION("""COMPUTED_VALUE"""),5.70054375059E11)</f>
        <v>570054375059</v>
      </c>
      <c r="E203" s="1" t="str">
        <f>IFERROR(__xludf.DUMMYFUNCTION("""COMPUTED_VALUE"""),"মোহাঃ হায়াত আলী")</f>
        <v>মোহাঃ হায়াত আলী</v>
      </c>
      <c r="F203" s="1" t="str">
        <f>IFERROR(__xludf.DUMMYFUNCTION("""COMPUTED_VALUE"""),"মোছাঃ সুরাতন খাতুন")</f>
        <v>মোছাঃ সুরাতন খাতুন</v>
      </c>
      <c r="G203" s="1" t="str">
        <f>IFERROR(__xludf.DUMMYFUNCTION("""COMPUTED_VALUE"""),"০৫/০৭/১৯৭২")</f>
        <v>০৫/০৭/১৯৭২</v>
      </c>
      <c r="H203" s="1" t="str">
        <f>IFERROR(__xludf.DUMMYFUNCTION("""COMPUTED_VALUE"""),"দর্জি")</f>
        <v>দর্জি</v>
      </c>
      <c r="I203" s="1" t="str">
        <f>IFERROR(__xludf.DUMMYFUNCTION("""COMPUTED_VALUE"""),"মহিষাখোলা")</f>
        <v>মহিষাখোলা</v>
      </c>
      <c r="J203" s="1" t="str">
        <f>IFERROR(__xludf.DUMMYFUNCTION("""COMPUTED_VALUE""")," গাংনী")</f>
        <v> গাংনী</v>
      </c>
      <c r="K203" s="1" t="str">
        <f>IFERROR(__xludf.DUMMYFUNCTION("""COMPUTED_VALUE""")," মেহেরপুর")</f>
        <v> মেহেরপুর</v>
      </c>
    </row>
    <row r="204">
      <c r="A204" s="6" t="s">
        <v>2289</v>
      </c>
      <c r="B204" s="1">
        <f>IFERROR(__xludf.DUMMYFUNCTION("SPLIT(A204,"","")"),205.0)</f>
        <v>205</v>
      </c>
      <c r="C204" s="1" t="str">
        <f>IFERROR(__xludf.DUMMYFUNCTION("""COMPUTED_VALUE"""),"মোহাঃ আনারুল ইসলাম")</f>
        <v>মোহাঃ আনারুল ইসলাম</v>
      </c>
      <c r="D204" s="1">
        <f>IFERROR(__xludf.DUMMYFUNCTION("""COMPUTED_VALUE"""),5.7005437506E11)</f>
        <v>570054375060</v>
      </c>
      <c r="E204" s="1" t="str">
        <f>IFERROR(__xludf.DUMMYFUNCTION("""COMPUTED_VALUE"""),"মোহাঃ জাদু মন্ডল")</f>
        <v>মোহাঃ জাদু মন্ডল</v>
      </c>
      <c r="F204" s="1" t="str">
        <f>IFERROR(__xludf.DUMMYFUNCTION("""COMPUTED_VALUE"""),"মোছাঃ মজিরন খাতুন")</f>
        <v>মোছাঃ মজিরন খাতুন</v>
      </c>
      <c r="G204" s="1" t="str">
        <f>IFERROR(__xludf.DUMMYFUNCTION("""COMPUTED_VALUE"""),"১৭/০৫/১৯৭৭")</f>
        <v>১৭/০৫/১৯৭৭</v>
      </c>
      <c r="H204" s="1" t="str">
        <f>IFERROR(__xludf.DUMMYFUNCTION("""COMPUTED_VALUE"""),"কৃষক")</f>
        <v>কৃষক</v>
      </c>
      <c r="I204" s="1" t="str">
        <f>IFERROR(__xludf.DUMMYFUNCTION("""COMPUTED_VALUE"""),"মহিষাখোলা")</f>
        <v>মহিষাখোলা</v>
      </c>
      <c r="J204" s="1" t="str">
        <f>IFERROR(__xludf.DUMMYFUNCTION("""COMPUTED_VALUE""")," গাংনী")</f>
        <v> গাংনী</v>
      </c>
      <c r="K204" s="1" t="str">
        <f>IFERROR(__xludf.DUMMYFUNCTION("""COMPUTED_VALUE""")," মেহেরপুর")</f>
        <v> মেহেরপুর</v>
      </c>
    </row>
    <row r="205">
      <c r="A205" s="6" t="s">
        <v>2290</v>
      </c>
      <c r="B205" s="1">
        <f>IFERROR(__xludf.DUMMYFUNCTION("SPLIT(A205,"","")"),206.0)</f>
        <v>206</v>
      </c>
      <c r="C205" s="1" t="str">
        <f>IFERROR(__xludf.DUMMYFUNCTION("""COMPUTED_VALUE"""),"মোহাঃ শফিকুল ইসলাম")</f>
        <v>মোহাঃ শফিকুল ইসলাম</v>
      </c>
      <c r="D205" s="1">
        <f>IFERROR(__xludf.DUMMYFUNCTION("""COMPUTED_VALUE"""),5.70054375061E11)</f>
        <v>570054375061</v>
      </c>
      <c r="E205" s="1" t="str">
        <f>IFERROR(__xludf.DUMMYFUNCTION("""COMPUTED_VALUE"""),"মোহাঃ জাদু মন্ডল")</f>
        <v>মোহাঃ জাদু মন্ডল</v>
      </c>
      <c r="F205" s="1" t="str">
        <f>IFERROR(__xludf.DUMMYFUNCTION("""COMPUTED_VALUE"""),"মোছাঃ মজিরন নেছা")</f>
        <v>মোছাঃ মজিরন নেছা</v>
      </c>
      <c r="G205" s="1" t="str">
        <f>IFERROR(__xludf.DUMMYFUNCTION("""COMPUTED_VALUE"""),"০২/০৪/১৯৭৭")</f>
        <v>০২/০৪/১৯৭৭</v>
      </c>
      <c r="H205" s="1" t="str">
        <f>IFERROR(__xludf.DUMMYFUNCTION("""COMPUTED_VALUE"""),"ব্যবসা")</f>
        <v>ব্যবসা</v>
      </c>
      <c r="I205" s="1" t="str">
        <f>IFERROR(__xludf.DUMMYFUNCTION("""COMPUTED_VALUE"""),"মহিষাখোলা")</f>
        <v>মহিষাখোলা</v>
      </c>
      <c r="J205" s="1" t="str">
        <f>IFERROR(__xludf.DUMMYFUNCTION("""COMPUTED_VALUE""")," গাংনী")</f>
        <v> গাংনী</v>
      </c>
      <c r="K205" s="1" t="str">
        <f>IFERROR(__xludf.DUMMYFUNCTION("""COMPUTED_VALUE""")," মেহেরপুর")</f>
        <v> মেহেরপুর</v>
      </c>
    </row>
    <row r="206">
      <c r="A206" s="6" t="s">
        <v>2291</v>
      </c>
      <c r="B206" s="1">
        <f>IFERROR(__xludf.DUMMYFUNCTION("SPLIT(A206,"","")"),207.0)</f>
        <v>207</v>
      </c>
      <c r="C206" s="1" t="str">
        <f>IFERROR(__xludf.DUMMYFUNCTION("""COMPUTED_VALUE"""),"মোহাঃ মতিয়ার রহমান")</f>
        <v>মোহাঃ মতিয়ার রহমান</v>
      </c>
      <c r="D206" s="1">
        <f>IFERROR(__xludf.DUMMYFUNCTION("""COMPUTED_VALUE"""),5.70054375063E11)</f>
        <v>570054375063</v>
      </c>
      <c r="E206" s="1" t="str">
        <f>IFERROR(__xludf.DUMMYFUNCTION("""COMPUTED_VALUE"""),"সুরাত মন্ডল")</f>
        <v>সুরাত মন্ডল</v>
      </c>
      <c r="F206" s="1" t="str">
        <f>IFERROR(__xludf.DUMMYFUNCTION("""COMPUTED_VALUE"""),"জরিনা খাতুন")</f>
        <v>জরিনা খাতুন</v>
      </c>
      <c r="G206" s="1" t="str">
        <f>IFERROR(__xludf.DUMMYFUNCTION("""COMPUTED_VALUE"""),"০৫/০৬/১৯৬৭")</f>
        <v>০৫/০৬/১৯৬৭</v>
      </c>
      <c r="H206" s="1" t="str">
        <f>IFERROR(__xludf.DUMMYFUNCTION("""COMPUTED_VALUE"""),"দিনমজুর")</f>
        <v>দিনমজুর</v>
      </c>
      <c r="I206" s="1" t="str">
        <f>IFERROR(__xludf.DUMMYFUNCTION("""COMPUTED_VALUE"""),"মহিষাখোলা")</f>
        <v>মহিষাখোলা</v>
      </c>
      <c r="J206" s="1" t="str">
        <f>IFERROR(__xludf.DUMMYFUNCTION("""COMPUTED_VALUE""")," গাংনী")</f>
        <v> গাংনী</v>
      </c>
      <c r="K206" s="1" t="str">
        <f>IFERROR(__xludf.DUMMYFUNCTION("""COMPUTED_VALUE""")," মেহেরপুর")</f>
        <v> মেহেরপুর</v>
      </c>
    </row>
    <row r="207">
      <c r="A207" s="6" t="s">
        <v>2292</v>
      </c>
      <c r="B207" s="1">
        <f>IFERROR(__xludf.DUMMYFUNCTION("SPLIT(A207,"","")"),208.0)</f>
        <v>208</v>
      </c>
      <c r="C207" s="1" t="str">
        <f>IFERROR(__xludf.DUMMYFUNCTION("""COMPUTED_VALUE"""),"মোঃ ইয়ারুল ইসলাম")</f>
        <v>মোঃ ইয়ারুল ইসলাম</v>
      </c>
      <c r="D207" s="1">
        <f>IFERROR(__xludf.DUMMYFUNCTION("""COMPUTED_VALUE"""),5.70054375065E11)</f>
        <v>570054375065</v>
      </c>
      <c r="E207" s="1" t="str">
        <f>IFERROR(__xludf.DUMMYFUNCTION("""COMPUTED_VALUE"""),"মোঃ ঈমান মন্ডল")</f>
        <v>মোঃ ঈমান মন্ডল</v>
      </c>
      <c r="F207" s="1" t="str">
        <f>IFERROR(__xludf.DUMMYFUNCTION("""COMPUTED_VALUE"""),"মোছাঃ ছাপায় খাতুন")</f>
        <v>মোছাঃ ছাপায় খাতুন</v>
      </c>
      <c r="G207" s="1" t="str">
        <f>IFERROR(__xludf.DUMMYFUNCTION("""COMPUTED_VALUE"""),"০৬/০৭/১৯৮৩")</f>
        <v>০৬/০৭/১৯৮৩</v>
      </c>
      <c r="H207" s="1" t="str">
        <f>IFERROR(__xludf.DUMMYFUNCTION("""COMPUTED_VALUE"""),"দিনমজুর")</f>
        <v>দিনমজুর</v>
      </c>
      <c r="I207" s="1" t="str">
        <f>IFERROR(__xludf.DUMMYFUNCTION("""COMPUTED_VALUE"""),"মহিষাখোলা")</f>
        <v>মহিষাখোলা</v>
      </c>
      <c r="J207" s="1" t="str">
        <f>IFERROR(__xludf.DUMMYFUNCTION("""COMPUTED_VALUE""")," গাংনী")</f>
        <v> গাংনী</v>
      </c>
      <c r="K207" s="1" t="str">
        <f>IFERROR(__xludf.DUMMYFUNCTION("""COMPUTED_VALUE""")," মেহেরপুর")</f>
        <v> মেহেরপুর</v>
      </c>
    </row>
    <row r="208">
      <c r="A208" s="6" t="s">
        <v>2293</v>
      </c>
      <c r="B208" s="1">
        <f>IFERROR(__xludf.DUMMYFUNCTION("SPLIT(A208,"","")"),209.0)</f>
        <v>209</v>
      </c>
      <c r="C208" s="1" t="str">
        <f>IFERROR(__xludf.DUMMYFUNCTION("""COMPUTED_VALUE"""),"মোহাঃ জিয়াউল")</f>
        <v>মোহাঃ জিয়াউল</v>
      </c>
      <c r="D208" s="1">
        <f>IFERROR(__xludf.DUMMYFUNCTION("""COMPUTED_VALUE"""),5.70054375067E11)</f>
        <v>570054375067</v>
      </c>
      <c r="E208" s="1" t="str">
        <f>IFERROR(__xludf.DUMMYFUNCTION("""COMPUTED_VALUE"""),"মোহাঃ যাদু মন্ডল")</f>
        <v>মোহাঃ যাদু মন্ডল</v>
      </c>
      <c r="F208" s="1" t="str">
        <f>IFERROR(__xludf.DUMMYFUNCTION("""COMPUTED_VALUE"""),"মোছাঃ মজিরন নেছা")</f>
        <v>মোছাঃ মজিরন নেছা</v>
      </c>
      <c r="G208" s="1" t="str">
        <f>IFERROR(__xludf.DUMMYFUNCTION("""COMPUTED_VALUE"""),"১০/০৯/১৯৮১")</f>
        <v>১০/০৯/১৯৮১</v>
      </c>
      <c r="H208" s="1" t="str">
        <f>IFERROR(__xludf.DUMMYFUNCTION("""COMPUTED_VALUE"""),"ব্যবসা")</f>
        <v>ব্যবসা</v>
      </c>
      <c r="I208" s="1" t="str">
        <f>IFERROR(__xludf.DUMMYFUNCTION("""COMPUTED_VALUE"""),"মহিষাখোলা")</f>
        <v>মহিষাখোলা</v>
      </c>
      <c r="J208" s="1" t="str">
        <f>IFERROR(__xludf.DUMMYFUNCTION("""COMPUTED_VALUE""")," গাংনী")</f>
        <v> গাংনী</v>
      </c>
      <c r="K208" s="1" t="str">
        <f>IFERROR(__xludf.DUMMYFUNCTION("""COMPUTED_VALUE""")," মেহেরপুর")</f>
        <v> মেহেরপুর</v>
      </c>
    </row>
    <row r="209">
      <c r="A209" s="6" t="s">
        <v>2294</v>
      </c>
      <c r="B209" s="1">
        <f>IFERROR(__xludf.DUMMYFUNCTION("SPLIT(A209,"","")"),210.0)</f>
        <v>210</v>
      </c>
      <c r="C209" s="1" t="str">
        <f>IFERROR(__xludf.DUMMYFUNCTION("""COMPUTED_VALUE"""),"মোহাঃ সুন্নত আলী")</f>
        <v>মোহাঃ সুন্নত আলী</v>
      </c>
      <c r="D209" s="1">
        <f>IFERROR(__xludf.DUMMYFUNCTION("""COMPUTED_VALUE"""),5.70054375069E11)</f>
        <v>570054375069</v>
      </c>
      <c r="E209" s="1" t="str">
        <f>IFERROR(__xludf.DUMMYFUNCTION("""COMPUTED_VALUE"""),"মোহাঃ শমসের আলী")</f>
        <v>মোহাঃ শমসের আলী</v>
      </c>
      <c r="F209" s="1" t="str">
        <f>IFERROR(__xludf.DUMMYFUNCTION("""COMPUTED_VALUE"""),"মোছা আছিয়া খাতুন")</f>
        <v>মোছা আছিয়া খাতুন</v>
      </c>
      <c r="G209" s="1" t="str">
        <f>IFERROR(__xludf.DUMMYFUNCTION("""COMPUTED_VALUE"""),"২২/০৯/১৯৮২")</f>
        <v>২২/০৯/১৯৮২</v>
      </c>
      <c r="H209" s="1" t="str">
        <f>IFERROR(__xludf.DUMMYFUNCTION("""COMPUTED_VALUE"""),"কৃষক")</f>
        <v>কৃষক</v>
      </c>
      <c r="I209" s="1" t="str">
        <f>IFERROR(__xludf.DUMMYFUNCTION("""COMPUTED_VALUE"""),"মহিষাখোলা")</f>
        <v>মহিষাখোলা</v>
      </c>
      <c r="J209" s="1" t="str">
        <f>IFERROR(__xludf.DUMMYFUNCTION("""COMPUTED_VALUE""")," গাংনী")</f>
        <v> গাংনী</v>
      </c>
      <c r="K209" s="1" t="str">
        <f>IFERROR(__xludf.DUMMYFUNCTION("""COMPUTED_VALUE""")," মেহেরপুর")</f>
        <v> মেহেরপুর</v>
      </c>
    </row>
    <row r="210">
      <c r="A210" s="6" t="s">
        <v>2295</v>
      </c>
      <c r="B210" s="1">
        <f>IFERROR(__xludf.DUMMYFUNCTION("SPLIT(A210,"","")"),211.0)</f>
        <v>211</v>
      </c>
      <c r="C210" s="1" t="str">
        <f>IFERROR(__xludf.DUMMYFUNCTION("""COMPUTED_VALUE"""),"মোহাঃ আব্দুল খালেক")</f>
        <v>মোহাঃ আব্দুল খালেক</v>
      </c>
      <c r="D210" s="1">
        <f>IFERROR(__xludf.DUMMYFUNCTION("""COMPUTED_VALUE"""),5.70054375074E11)</f>
        <v>570054375074</v>
      </c>
      <c r="E210" s="1" t="str">
        <f>IFERROR(__xludf.DUMMYFUNCTION("""COMPUTED_VALUE"""),"খেজমত আলী")</f>
        <v>খেজমত আলী</v>
      </c>
      <c r="F210" s="1" t="str">
        <f>IFERROR(__xludf.DUMMYFUNCTION("""COMPUTED_VALUE"""),"মোছাঃ পাঁচিরন নেছা")</f>
        <v>মোছাঃ পাঁচিরন নেছা</v>
      </c>
      <c r="G210" s="1" t="str">
        <f>IFERROR(__xludf.DUMMYFUNCTION("""COMPUTED_VALUE"""),"০১/০৭/১৯৭৭")</f>
        <v>০১/০৭/১৯৭৭</v>
      </c>
      <c r="H210" s="1" t="str">
        <f>IFERROR(__xludf.DUMMYFUNCTION("""COMPUTED_VALUE"""),"কৃষক")</f>
        <v>কৃষক</v>
      </c>
      <c r="I210" s="1" t="str">
        <f>IFERROR(__xludf.DUMMYFUNCTION("""COMPUTED_VALUE"""),"মহিষাখোলা")</f>
        <v>মহিষাখোলা</v>
      </c>
      <c r="J210" s="1" t="str">
        <f>IFERROR(__xludf.DUMMYFUNCTION("""COMPUTED_VALUE""")," গাংনী")</f>
        <v> গাংনী</v>
      </c>
      <c r="K210" s="1" t="str">
        <f>IFERROR(__xludf.DUMMYFUNCTION("""COMPUTED_VALUE""")," মেহেরপুর")</f>
        <v> মেহেরপুর</v>
      </c>
    </row>
    <row r="211">
      <c r="A211" s="6" t="s">
        <v>2296</v>
      </c>
      <c r="B211" s="1">
        <f>IFERROR(__xludf.DUMMYFUNCTION("SPLIT(A211,"","")"),212.0)</f>
        <v>212</v>
      </c>
      <c r="C211" s="1" t="str">
        <f>IFERROR(__xludf.DUMMYFUNCTION("""COMPUTED_VALUE"""),"মোহাঃ মুনাজাত আলী")</f>
        <v>মোহাঃ মুনাজাত আলী</v>
      </c>
      <c r="D211" s="1">
        <f>IFERROR(__xludf.DUMMYFUNCTION("""COMPUTED_VALUE"""),5.70054375078E11)</f>
        <v>570054375078</v>
      </c>
      <c r="E211" s="1" t="str">
        <f>IFERROR(__xludf.DUMMYFUNCTION("""COMPUTED_VALUE"""),"মোহাঃ শামসের আলী")</f>
        <v>মোহাঃ শামসের আলী</v>
      </c>
      <c r="F211" s="1" t="str">
        <f>IFERROR(__xludf.DUMMYFUNCTION("""COMPUTED_VALUE"""),"মোছাঃ আছিয়া খাতুন")</f>
        <v>মোছাঃ আছিয়া খাতুন</v>
      </c>
      <c r="G211" s="1" t="str">
        <f>IFERROR(__xludf.DUMMYFUNCTION("""COMPUTED_VALUE"""),"০৮/১২/১৯৭৬")</f>
        <v>০৮/১২/১৯৭৬</v>
      </c>
      <c r="H211" s="1" t="str">
        <f>IFERROR(__xludf.DUMMYFUNCTION("""COMPUTED_VALUE"""),"ব্যবসা")</f>
        <v>ব্যবসা</v>
      </c>
      <c r="I211" s="1" t="str">
        <f>IFERROR(__xludf.DUMMYFUNCTION("""COMPUTED_VALUE"""),"মহিষাখোলা")</f>
        <v>মহিষাখোলা</v>
      </c>
      <c r="J211" s="1" t="str">
        <f>IFERROR(__xludf.DUMMYFUNCTION("""COMPUTED_VALUE""")," গাংনী")</f>
        <v> গাংনী</v>
      </c>
      <c r="K211" s="1" t="str">
        <f>IFERROR(__xludf.DUMMYFUNCTION("""COMPUTED_VALUE""")," মেহেরপুর")</f>
        <v> মেহেরপুর</v>
      </c>
    </row>
    <row r="212">
      <c r="A212" s="6" t="s">
        <v>2297</v>
      </c>
      <c r="B212" s="1">
        <f>IFERROR(__xludf.DUMMYFUNCTION("SPLIT(A212,"","")"),213.0)</f>
        <v>213</v>
      </c>
      <c r="C212" s="1" t="str">
        <f>IFERROR(__xludf.DUMMYFUNCTION("""COMPUTED_VALUE"""),"মোহাঃ হযরত আলী")</f>
        <v>মোহাঃ হযরত আলী</v>
      </c>
      <c r="D212" s="1">
        <f>IFERROR(__xludf.DUMMYFUNCTION("""COMPUTED_VALUE"""),5.7005437508E11)</f>
        <v>570054375080</v>
      </c>
      <c r="E212" s="1" t="str">
        <f>IFERROR(__xludf.DUMMYFUNCTION("""COMPUTED_VALUE"""),"ফকির মন্ডল")</f>
        <v>ফকির মন্ডল</v>
      </c>
      <c r="F212" s="1" t="str">
        <f>IFERROR(__xludf.DUMMYFUNCTION("""COMPUTED_VALUE"""),"মোছাঃ জাইরা খাতুন")</f>
        <v>মোছাঃ জাইরা খাতুন</v>
      </c>
      <c r="G212" s="1" t="str">
        <f>IFERROR(__xludf.DUMMYFUNCTION("""COMPUTED_VALUE"""),"২৫/১০/১৯৭১")</f>
        <v>২৫/১০/১৯৭১</v>
      </c>
      <c r="H212" s="1" t="str">
        <f>IFERROR(__xludf.DUMMYFUNCTION("""COMPUTED_VALUE"""),"রিক্সা/ভ্যান চালক")</f>
        <v>রিক্সা/ভ্যান চালক</v>
      </c>
      <c r="I212" s="1" t="str">
        <f>IFERROR(__xludf.DUMMYFUNCTION("""COMPUTED_VALUE"""),"মহিষাখোলা")</f>
        <v>মহিষাখোলা</v>
      </c>
      <c r="J212" s="1" t="str">
        <f>IFERROR(__xludf.DUMMYFUNCTION("""COMPUTED_VALUE""")," গাংনী")</f>
        <v> গাংনী</v>
      </c>
      <c r="K212" s="1" t="str">
        <f>IFERROR(__xludf.DUMMYFUNCTION("""COMPUTED_VALUE""")," মেহেরপুর")</f>
        <v> মেহেরপুর</v>
      </c>
    </row>
    <row r="213">
      <c r="A213" s="6" t="s">
        <v>2298</v>
      </c>
      <c r="B213" s="1">
        <f>IFERROR(__xludf.DUMMYFUNCTION("SPLIT(A213,"","")"),214.0)</f>
        <v>214</v>
      </c>
      <c r="C213" s="1" t="str">
        <f>IFERROR(__xludf.DUMMYFUNCTION("""COMPUTED_VALUE"""),"মোঃ নূহু ইসলাম")</f>
        <v>মোঃ নূহু ইসলাম</v>
      </c>
      <c r="D213" s="1">
        <f>IFERROR(__xludf.DUMMYFUNCTION("""COMPUTED_VALUE"""),5.70054375081E11)</f>
        <v>570054375081</v>
      </c>
      <c r="E213" s="1" t="str">
        <f>IFERROR(__xludf.DUMMYFUNCTION("""COMPUTED_VALUE"""),"ফকির মন্ডল")</f>
        <v>ফকির মন্ডল</v>
      </c>
      <c r="F213" s="1" t="str">
        <f>IFERROR(__xludf.DUMMYFUNCTION("""COMPUTED_VALUE"""),"মোছাঃ জাইরা খাতুন")</f>
        <v>মোছাঃ জাইরা খাতুন</v>
      </c>
      <c r="G213" s="1" t="str">
        <f>IFERROR(__xludf.DUMMYFUNCTION("""COMPUTED_VALUE"""),"১০/১০/১৯৭৩")</f>
        <v>১০/১০/১৯৭৩</v>
      </c>
      <c r="H213" s="1" t="str">
        <f>IFERROR(__xludf.DUMMYFUNCTION("""COMPUTED_VALUE"""),"রিক্সা/ভ্যান চালক")</f>
        <v>রিক্সা/ভ্যান চালক</v>
      </c>
      <c r="I213" s="1" t="str">
        <f>IFERROR(__xludf.DUMMYFUNCTION("""COMPUTED_VALUE"""),"মহিষাখোলা")</f>
        <v>মহিষাখোলা</v>
      </c>
      <c r="J213" s="1" t="str">
        <f>IFERROR(__xludf.DUMMYFUNCTION("""COMPUTED_VALUE""")," গাংনী")</f>
        <v> গাংনী</v>
      </c>
      <c r="K213" s="1" t="str">
        <f>IFERROR(__xludf.DUMMYFUNCTION("""COMPUTED_VALUE""")," মেহেরপুর")</f>
        <v> মেহেরপুর</v>
      </c>
    </row>
    <row r="214">
      <c r="A214" s="6" t="s">
        <v>2299</v>
      </c>
      <c r="B214" s="1">
        <f>IFERROR(__xludf.DUMMYFUNCTION("SPLIT(A214,"","")"),215.0)</f>
        <v>215</v>
      </c>
      <c r="C214" s="1" t="str">
        <f>IFERROR(__xludf.DUMMYFUNCTION("""COMPUTED_VALUE"""),"মোঃ আশরাফ আলী")</f>
        <v>মোঃ আশরাফ আলী</v>
      </c>
      <c r="D214" s="1">
        <f>IFERROR(__xludf.DUMMYFUNCTION("""COMPUTED_VALUE"""),5.70054375085E11)</f>
        <v>570054375085</v>
      </c>
      <c r="E214" s="1" t="str">
        <f>IFERROR(__xludf.DUMMYFUNCTION("""COMPUTED_VALUE"""),"মোহাঃ শমসের আলী")</f>
        <v>মোহাঃ শমসের আলী</v>
      </c>
      <c r="F214" s="1" t="str">
        <f>IFERROR(__xludf.DUMMYFUNCTION("""COMPUTED_VALUE"""),"মোছাঃ আছিয়া খাতুন")</f>
        <v>মোছাঃ আছিয়া খাতুন</v>
      </c>
      <c r="G214" s="1" t="str">
        <f>IFERROR(__xludf.DUMMYFUNCTION("""COMPUTED_VALUE"""),"৩১/১০/১৯৬২")</f>
        <v>৩১/১০/১৯৬২</v>
      </c>
      <c r="H214" s="1" t="str">
        <f>IFERROR(__xludf.DUMMYFUNCTION("""COMPUTED_VALUE"""),"ব্যবসা")</f>
        <v>ব্যবসা</v>
      </c>
      <c r="I214" s="1" t="str">
        <f>IFERROR(__xludf.DUMMYFUNCTION("""COMPUTED_VALUE"""),"মহিষাখোলা")</f>
        <v>মহিষাখোলা</v>
      </c>
      <c r="J214" s="1" t="str">
        <f>IFERROR(__xludf.DUMMYFUNCTION("""COMPUTED_VALUE""")," গাংনী")</f>
        <v> গাংনী</v>
      </c>
      <c r="K214" s="1" t="str">
        <f>IFERROR(__xludf.DUMMYFUNCTION("""COMPUTED_VALUE""")," মেহেরপুর")</f>
        <v> মেহেরপুর</v>
      </c>
    </row>
    <row r="215">
      <c r="A215" s="6" t="s">
        <v>2300</v>
      </c>
      <c r="B215" s="1">
        <f>IFERROR(__xludf.DUMMYFUNCTION("SPLIT(A215,"","")"),216.0)</f>
        <v>216</v>
      </c>
      <c r="C215" s="1" t="str">
        <f>IFERROR(__xludf.DUMMYFUNCTION("""COMPUTED_VALUE"""),"মোঃ মোবারক আলী")</f>
        <v>মোঃ মোবারক আলী</v>
      </c>
      <c r="D215" s="1">
        <f>IFERROR(__xludf.DUMMYFUNCTION("""COMPUTED_VALUE"""),5.70054375086E11)</f>
        <v>570054375086</v>
      </c>
      <c r="E215" s="1" t="str">
        <f>IFERROR(__xludf.DUMMYFUNCTION("""COMPUTED_VALUE"""),"মোহাঃ শমসের আলী")</f>
        <v>মোহাঃ শমসের আলী</v>
      </c>
      <c r="F215" s="1" t="str">
        <f>IFERROR(__xludf.DUMMYFUNCTION("""COMPUTED_VALUE"""),"মোছাঃ আছিয়া খাতুন")</f>
        <v>মোছাঃ আছিয়া খাতুন</v>
      </c>
      <c r="G215" s="1" t="str">
        <f>IFERROR(__xludf.DUMMYFUNCTION("""COMPUTED_VALUE"""),"৩১/১০/১৯৬৭")</f>
        <v>৩১/১০/১৯৬৭</v>
      </c>
      <c r="H215" s="1" t="str">
        <f>IFERROR(__xludf.DUMMYFUNCTION("""COMPUTED_VALUE"""),"কৃষক")</f>
        <v>কৃষক</v>
      </c>
      <c r="I215" s="1" t="str">
        <f>IFERROR(__xludf.DUMMYFUNCTION("""COMPUTED_VALUE"""),"মহিষাখোলা")</f>
        <v>মহিষাখোলা</v>
      </c>
      <c r="J215" s="1" t="str">
        <f>IFERROR(__xludf.DUMMYFUNCTION("""COMPUTED_VALUE""")," গাংনী")</f>
        <v> গাংনী</v>
      </c>
      <c r="K215" s="1" t="str">
        <f>IFERROR(__xludf.DUMMYFUNCTION("""COMPUTED_VALUE""")," মেহেরপুর")</f>
        <v> মেহেরপুর</v>
      </c>
    </row>
    <row r="216">
      <c r="A216" s="6" t="s">
        <v>2301</v>
      </c>
      <c r="B216" s="1">
        <f>IFERROR(__xludf.DUMMYFUNCTION("SPLIT(A216,"","")"),217.0)</f>
        <v>217</v>
      </c>
      <c r="C216" s="1" t="str">
        <f>IFERROR(__xludf.DUMMYFUNCTION("""COMPUTED_VALUE"""),"মোহাঃ ইয়ারুল ইসলাম")</f>
        <v>মোহাঃ ইয়ারুল ইসলাম</v>
      </c>
      <c r="D216" s="1">
        <f>IFERROR(__xludf.DUMMYFUNCTION("""COMPUTED_VALUE"""),5.70054375088E11)</f>
        <v>570054375088</v>
      </c>
      <c r="E216" s="1" t="str">
        <f>IFERROR(__xludf.DUMMYFUNCTION("""COMPUTED_VALUE"""),"মোহাঃ শমসের আলী")</f>
        <v>মোহাঃ শমসের আলী</v>
      </c>
      <c r="F216" s="1" t="str">
        <f>IFERROR(__xludf.DUMMYFUNCTION("""COMPUTED_VALUE"""),"মোছাঃ আছিয়া খাতুন")</f>
        <v>মোছাঃ আছিয়া খাতুন</v>
      </c>
      <c r="G216" s="1" t="str">
        <f>IFERROR(__xludf.DUMMYFUNCTION("""COMPUTED_VALUE"""),"০১/১২/১৯৮৪")</f>
        <v>০১/১২/১৯৮৪</v>
      </c>
      <c r="H216" s="1" t="str">
        <f>IFERROR(__xludf.DUMMYFUNCTION("""COMPUTED_VALUE"""),"কৃষক")</f>
        <v>কৃষক</v>
      </c>
      <c r="I216" s="1" t="str">
        <f>IFERROR(__xludf.DUMMYFUNCTION("""COMPUTED_VALUE"""),"মহিষাখোলা")</f>
        <v>মহিষাখোলা</v>
      </c>
      <c r="J216" s="1" t="str">
        <f>IFERROR(__xludf.DUMMYFUNCTION("""COMPUTED_VALUE""")," গাংনী")</f>
        <v> গাংনী</v>
      </c>
      <c r="K216" s="1" t="str">
        <f>IFERROR(__xludf.DUMMYFUNCTION("""COMPUTED_VALUE""")," মেহেরপুর")</f>
        <v> মেহেরপুর</v>
      </c>
    </row>
    <row r="217">
      <c r="A217" s="6" t="s">
        <v>2302</v>
      </c>
      <c r="B217" s="1">
        <f>IFERROR(__xludf.DUMMYFUNCTION("SPLIT(A217,"","")"),219.0)</f>
        <v>219</v>
      </c>
      <c r="C217" s="1" t="str">
        <f>IFERROR(__xludf.DUMMYFUNCTION("""COMPUTED_VALUE"""),"মোহাঃ আশরাফুল ইসলাম")</f>
        <v>মোহাঃ আশরাফুল ইসলাম</v>
      </c>
      <c r="D217" s="1">
        <f>IFERROR(__xludf.DUMMYFUNCTION("""COMPUTED_VALUE"""),5.70054375094E11)</f>
        <v>570054375094</v>
      </c>
      <c r="E217" s="1" t="str">
        <f>IFERROR(__xludf.DUMMYFUNCTION("""COMPUTED_VALUE"""),"মোহাঃ আব্দুর রহমান")</f>
        <v>মোহাঃ আব্দুর রহমান</v>
      </c>
      <c r="F217" s="1" t="str">
        <f>IFERROR(__xludf.DUMMYFUNCTION("""COMPUTED_VALUE"""),"মোছাঃ মার্জিয়া খাতুন")</f>
        <v>মোছাঃ মার্জিয়া খাতুন</v>
      </c>
      <c r="G217" s="1" t="str">
        <f>IFERROR(__xludf.DUMMYFUNCTION("""COMPUTED_VALUE"""),"২০/০৫/১৯৮১")</f>
        <v>২০/০৫/১৯৮১</v>
      </c>
      <c r="H217" s="1" t="str">
        <f>IFERROR(__xludf.DUMMYFUNCTION("""COMPUTED_VALUE"""),"ব্যবসা")</f>
        <v>ব্যবসা</v>
      </c>
      <c r="I217" s="1" t="str">
        <f>IFERROR(__xludf.DUMMYFUNCTION("""COMPUTED_VALUE"""),"মহিষাখোলা")</f>
        <v>মহিষাখোলা</v>
      </c>
      <c r="J217" s="1" t="str">
        <f>IFERROR(__xludf.DUMMYFUNCTION("""COMPUTED_VALUE""")," গাংনী")</f>
        <v> গাংনী</v>
      </c>
      <c r="K217" s="1" t="str">
        <f>IFERROR(__xludf.DUMMYFUNCTION("""COMPUTED_VALUE""")," মেহেরপুর")</f>
        <v> মেহেরপুর</v>
      </c>
    </row>
    <row r="218">
      <c r="A218" s="6" t="s">
        <v>2303</v>
      </c>
      <c r="B218" s="1">
        <f>IFERROR(__xludf.DUMMYFUNCTION("SPLIT(A218,"","")"),220.0)</f>
        <v>220</v>
      </c>
      <c r="C218" s="1" t="str">
        <f>IFERROR(__xludf.DUMMYFUNCTION("""COMPUTED_VALUE"""),"মোঃ মিনারুল ইসলাম")</f>
        <v>মোঃ মিনারুল ইসলাম</v>
      </c>
      <c r="D218" s="1">
        <f>IFERROR(__xludf.DUMMYFUNCTION("""COMPUTED_VALUE"""),5.70054375096E11)</f>
        <v>570054375096</v>
      </c>
      <c r="E218" s="1" t="str">
        <f>IFERROR(__xludf.DUMMYFUNCTION("""COMPUTED_VALUE"""),"মোহাঃ গোলাম রসুল")</f>
        <v>মোহাঃ গোলাম রসুল</v>
      </c>
      <c r="F218" s="1" t="str">
        <f>IFERROR(__xludf.DUMMYFUNCTION("""COMPUTED_VALUE"""),"মোছাঃ সুফিয়া খাতুন")</f>
        <v>মোছাঃ সুফিয়া খাতুন</v>
      </c>
      <c r="G218" s="1" t="str">
        <f>IFERROR(__xludf.DUMMYFUNCTION("""COMPUTED_VALUE"""),"১০/০৩/১৯৮১")</f>
        <v>১০/০৩/১৯৮১</v>
      </c>
      <c r="H218" s="1" t="str">
        <f>IFERROR(__xludf.DUMMYFUNCTION("""COMPUTED_VALUE"""),"কৃষক")</f>
        <v>কৃষক</v>
      </c>
      <c r="I218" s="1" t="str">
        <f>IFERROR(__xludf.DUMMYFUNCTION("""COMPUTED_VALUE"""),"মহিষাখোলা")</f>
        <v>মহিষাখোলা</v>
      </c>
      <c r="J218" s="1" t="str">
        <f>IFERROR(__xludf.DUMMYFUNCTION("""COMPUTED_VALUE""")," গাংনী")</f>
        <v> গাংনী</v>
      </c>
      <c r="K218" s="1" t="str">
        <f>IFERROR(__xludf.DUMMYFUNCTION("""COMPUTED_VALUE""")," মেহেরপুর")</f>
        <v> মেহেরপুর</v>
      </c>
    </row>
    <row r="219">
      <c r="A219" s="6" t="s">
        <v>2304</v>
      </c>
      <c r="B219" s="1">
        <f>IFERROR(__xludf.DUMMYFUNCTION("SPLIT(A219,"","")"),221.0)</f>
        <v>221</v>
      </c>
      <c r="C219" s="1" t="str">
        <f>IFERROR(__xludf.DUMMYFUNCTION("""COMPUTED_VALUE"""),"মোঃ বাশিরুজ্জামান")</f>
        <v>মোঃ বাশিরুজ্জামান</v>
      </c>
      <c r="D219" s="1">
        <f>IFERROR(__xludf.DUMMYFUNCTION("""COMPUTED_VALUE"""),5.70054375101E11)</f>
        <v>570054375101</v>
      </c>
      <c r="E219" s="1" t="str">
        <f>IFERROR(__xludf.DUMMYFUNCTION("""COMPUTED_VALUE"""),"মোঃ আবুতালিব")</f>
        <v>মোঃ আবুতালিব</v>
      </c>
      <c r="F219" s="1" t="str">
        <f>IFERROR(__xludf.DUMMYFUNCTION("""COMPUTED_VALUE"""),"মোছাঃ বাচেনা খাতুন")</f>
        <v>মোছাঃ বাচেনা খাতুন</v>
      </c>
      <c r="G219" s="1" t="str">
        <f>IFERROR(__xludf.DUMMYFUNCTION("""COMPUTED_VALUE"""),"০৩/০২/১৯৮৮")</f>
        <v>০৩/০২/১৯৮৮</v>
      </c>
      <c r="H219" s="1" t="str">
        <f>IFERROR(__xludf.DUMMYFUNCTION("""COMPUTED_VALUE"""),"ছাত্র/ছাত্রী")</f>
        <v>ছাত্র/ছাত্রী</v>
      </c>
      <c r="I219" s="1" t="str">
        <f>IFERROR(__xludf.DUMMYFUNCTION("""COMPUTED_VALUE"""),"মহিষাখোলা")</f>
        <v>মহিষাখোলা</v>
      </c>
      <c r="J219" s="1" t="str">
        <f>IFERROR(__xludf.DUMMYFUNCTION("""COMPUTED_VALUE""")," গাংনী")</f>
        <v> গাংনী</v>
      </c>
      <c r="K219" s="1" t="str">
        <f>IFERROR(__xludf.DUMMYFUNCTION("""COMPUTED_VALUE""")," মেহেরপুর")</f>
        <v> মেহেরপুর</v>
      </c>
    </row>
    <row r="220">
      <c r="A220" s="6" t="s">
        <v>2305</v>
      </c>
      <c r="B220" s="1">
        <f>IFERROR(__xludf.DUMMYFUNCTION("SPLIT(A220,"","")"),222.0)</f>
        <v>222</v>
      </c>
      <c r="C220" s="1" t="str">
        <f>IFERROR(__xludf.DUMMYFUNCTION("""COMPUTED_VALUE"""),"মোহাঃ সহিরুল ইসলাম")</f>
        <v>মোহাঃ সহিরুল ইসলাম</v>
      </c>
      <c r="D220" s="1">
        <f>IFERROR(__xludf.DUMMYFUNCTION("""COMPUTED_VALUE"""),5.70054375104E11)</f>
        <v>570054375104</v>
      </c>
      <c r="E220" s="1" t="str">
        <f>IFERROR(__xludf.DUMMYFUNCTION("""COMPUTED_VALUE"""),"মোহাঃ আজাহার মন্ডল")</f>
        <v>মোহাঃ আজাহার মন্ডল</v>
      </c>
      <c r="F220" s="1" t="str">
        <f>IFERROR(__xludf.DUMMYFUNCTION("""COMPUTED_VALUE"""),"মোছাঃ মিনিয়ারা খাতুন")</f>
        <v>মোছাঃ মিনিয়ারা খাতুন</v>
      </c>
      <c r="G220" s="1" t="str">
        <f>IFERROR(__xludf.DUMMYFUNCTION("""COMPUTED_VALUE"""),"০৮/০৬/১৯৮২")</f>
        <v>০৮/০৬/১৯৮২</v>
      </c>
      <c r="H220" s="1" t="str">
        <f>IFERROR(__xludf.DUMMYFUNCTION("""COMPUTED_VALUE"""),"কৃষক")</f>
        <v>কৃষক</v>
      </c>
      <c r="I220" s="1" t="str">
        <f>IFERROR(__xludf.DUMMYFUNCTION("""COMPUTED_VALUE"""),"মহিষাখোলা")</f>
        <v>মহিষাখোলা</v>
      </c>
      <c r="J220" s="1" t="str">
        <f>IFERROR(__xludf.DUMMYFUNCTION("""COMPUTED_VALUE""")," গাংনী")</f>
        <v> গাংনী</v>
      </c>
      <c r="K220" s="1" t="str">
        <f>IFERROR(__xludf.DUMMYFUNCTION("""COMPUTED_VALUE""")," মেহেরপুর")</f>
        <v> মেহেরপুর</v>
      </c>
    </row>
    <row r="221">
      <c r="A221" s="6" t="s">
        <v>2306</v>
      </c>
      <c r="B221" s="1">
        <f>IFERROR(__xludf.DUMMYFUNCTION("SPLIT(A221,"","")"),223.0)</f>
        <v>223</v>
      </c>
      <c r="C221" s="1" t="str">
        <f>IFERROR(__xludf.DUMMYFUNCTION("""COMPUTED_VALUE"""),"মোঃ নাসিরুল ইসলাম")</f>
        <v>মোঃ নাসিরুল ইসলাম</v>
      </c>
      <c r="D221" s="1">
        <f>IFERROR(__xludf.DUMMYFUNCTION("""COMPUTED_VALUE"""),5.70054375106E11)</f>
        <v>570054375106</v>
      </c>
      <c r="E221" s="1" t="str">
        <f>IFERROR(__xludf.DUMMYFUNCTION("""COMPUTED_VALUE"""),"মোহাঃ আজাহার মন্ডল")</f>
        <v>মোহাঃ আজাহার মন্ডল</v>
      </c>
      <c r="F221" s="1" t="str">
        <f>IFERROR(__xludf.DUMMYFUNCTION("""COMPUTED_VALUE"""),"মোছাঃ মিনিয়ারা খাতুন")</f>
        <v>মোছাঃ মিনিয়ারা খাতুন</v>
      </c>
      <c r="G221" s="1" t="str">
        <f>IFERROR(__xludf.DUMMYFUNCTION("""COMPUTED_VALUE"""),"১০/১০/১৯৭৭")</f>
        <v>১০/১০/১৯৭৭</v>
      </c>
      <c r="H221" s="1" t="str">
        <f>IFERROR(__xludf.DUMMYFUNCTION("""COMPUTED_VALUE"""),"ব্যবসা")</f>
        <v>ব্যবসা</v>
      </c>
      <c r="I221" s="1" t="str">
        <f>IFERROR(__xludf.DUMMYFUNCTION("""COMPUTED_VALUE"""),"মহিষাখোলা")</f>
        <v>মহিষাখোলা</v>
      </c>
      <c r="J221" s="1" t="str">
        <f>IFERROR(__xludf.DUMMYFUNCTION("""COMPUTED_VALUE""")," গাংনী")</f>
        <v> গাংনী</v>
      </c>
      <c r="K221" s="1" t="str">
        <f>IFERROR(__xludf.DUMMYFUNCTION("""COMPUTED_VALUE""")," মেহেরপুর")</f>
        <v> মেহেরপুর</v>
      </c>
    </row>
    <row r="222">
      <c r="A222" s="6" t="s">
        <v>2307</v>
      </c>
      <c r="B222" s="1">
        <f>IFERROR(__xludf.DUMMYFUNCTION("SPLIT(A222,"","")"),224.0)</f>
        <v>224</v>
      </c>
      <c r="C222" s="1" t="str">
        <f>IFERROR(__xludf.DUMMYFUNCTION("""COMPUTED_VALUE"""),"মোহাঃ মিজানুর রহমান")</f>
        <v>মোহাঃ মিজানুর রহমান</v>
      </c>
      <c r="D222" s="1">
        <f>IFERROR(__xludf.DUMMYFUNCTION("""COMPUTED_VALUE"""),5.70054375109E11)</f>
        <v>570054375109</v>
      </c>
      <c r="E222" s="1" t="str">
        <f>IFERROR(__xludf.DUMMYFUNCTION("""COMPUTED_VALUE"""),"মোহাঃ গোলাম রসুল")</f>
        <v>মোহাঃ গোলাম রসুল</v>
      </c>
      <c r="F222" s="1" t="str">
        <f>IFERROR(__xludf.DUMMYFUNCTION("""COMPUTED_VALUE"""),"মোছাঃ সুফিয়া খাতুন")</f>
        <v>মোছাঃ সুফিয়া খাতুন</v>
      </c>
      <c r="G222" s="1" t="str">
        <f>IFERROR(__xludf.DUMMYFUNCTION("""COMPUTED_VALUE"""),"১৮/০২/১৯৭৮")</f>
        <v>১৮/০২/১৯৭৮</v>
      </c>
      <c r="H222" s="1" t="str">
        <f>IFERROR(__xludf.DUMMYFUNCTION("""COMPUTED_VALUE"""),"ব্যবসা")</f>
        <v>ব্যবসা</v>
      </c>
      <c r="I222" s="1" t="str">
        <f>IFERROR(__xludf.DUMMYFUNCTION("""COMPUTED_VALUE"""),"মহিষাখোলা")</f>
        <v>মহিষাখোলা</v>
      </c>
      <c r="J222" s="1" t="str">
        <f>IFERROR(__xludf.DUMMYFUNCTION("""COMPUTED_VALUE""")," গাংনী")</f>
        <v> গাংনী</v>
      </c>
      <c r="K222" s="1" t="str">
        <f>IFERROR(__xludf.DUMMYFUNCTION("""COMPUTED_VALUE""")," মেহেরপুর")</f>
        <v> মেহেরপুর</v>
      </c>
    </row>
    <row r="223">
      <c r="A223" s="6" t="s">
        <v>2308</v>
      </c>
      <c r="B223" s="1">
        <f>IFERROR(__xludf.DUMMYFUNCTION("SPLIT(A223,"","")"),225.0)</f>
        <v>225</v>
      </c>
      <c r="C223" s="1" t="str">
        <f>IFERROR(__xludf.DUMMYFUNCTION("""COMPUTED_VALUE"""),"মোহাঃ ফজলুল হক")</f>
        <v>মোহাঃ ফজলুল হক</v>
      </c>
      <c r="D223" s="1">
        <f>IFERROR(__xludf.DUMMYFUNCTION("""COMPUTED_VALUE"""),5.70054375111E11)</f>
        <v>570054375111</v>
      </c>
      <c r="E223" s="1" t="str">
        <f>IFERROR(__xludf.DUMMYFUNCTION("""COMPUTED_VALUE"""),"মোহাঃ আব্দুর রহমান")</f>
        <v>মোহাঃ আব্দুর রহমান</v>
      </c>
      <c r="F223" s="1" t="str">
        <f>IFERROR(__xludf.DUMMYFUNCTION("""COMPUTED_VALUE"""),"মোছাঃ মার্জিয়া খাতুন")</f>
        <v>মোছাঃ মার্জিয়া খাতুন</v>
      </c>
      <c r="G223" s="1" t="str">
        <f>IFERROR(__xludf.DUMMYFUNCTION("""COMPUTED_VALUE"""),"১৫/০৮/১৯৬৯")</f>
        <v>১৫/০৮/১৯৬৯</v>
      </c>
      <c r="H223" s="1" t="str">
        <f>IFERROR(__xludf.DUMMYFUNCTION("""COMPUTED_VALUE"""),"কৃষক")</f>
        <v>কৃষক</v>
      </c>
      <c r="I223" s="1" t="str">
        <f>IFERROR(__xludf.DUMMYFUNCTION("""COMPUTED_VALUE"""),"মহিষাখোলা")</f>
        <v>মহিষাখোলা</v>
      </c>
      <c r="J223" s="1" t="str">
        <f>IFERROR(__xludf.DUMMYFUNCTION("""COMPUTED_VALUE""")," গাংনী")</f>
        <v> গাংনী</v>
      </c>
      <c r="K223" s="1" t="str">
        <f>IFERROR(__xludf.DUMMYFUNCTION("""COMPUTED_VALUE""")," মেহেরপুর")</f>
        <v> মেহেরপুর</v>
      </c>
    </row>
    <row r="224">
      <c r="A224" s="6" t="s">
        <v>2309</v>
      </c>
      <c r="B224" s="1">
        <f>IFERROR(__xludf.DUMMYFUNCTION("SPLIT(A224,"","")"),226.0)</f>
        <v>226</v>
      </c>
      <c r="C224" s="1" t="str">
        <f>IFERROR(__xludf.DUMMYFUNCTION("""COMPUTED_VALUE"""),"মোঃ ইসমাইল হোসেন")</f>
        <v>মোঃ ইসমাইল হোসেন</v>
      </c>
      <c r="D224" s="1">
        <f>IFERROR(__xludf.DUMMYFUNCTION("""COMPUTED_VALUE"""),5.70054375112E11)</f>
        <v>570054375112</v>
      </c>
      <c r="E224" s="1" t="str">
        <f>IFERROR(__xludf.DUMMYFUNCTION("""COMPUTED_VALUE"""),"মোহাঃ মুয়াজ্জেম হোসেন")</f>
        <v>মোহাঃ মুয়াজ্জেম হোসেন</v>
      </c>
      <c r="F224" s="1" t="str">
        <f>IFERROR(__xludf.DUMMYFUNCTION("""COMPUTED_VALUE"""),"মোছাঃ রাহিমা খাতুন")</f>
        <v>মোছাঃ রাহিমা খাতুন</v>
      </c>
      <c r="G224" s="1" t="str">
        <f>IFERROR(__xludf.DUMMYFUNCTION("""COMPUTED_VALUE"""),"১৩/০৬/১৯৭২")</f>
        <v>১৩/০৬/১৯৭২</v>
      </c>
      <c r="H224" s="1" t="str">
        <f>IFERROR(__xludf.DUMMYFUNCTION("""COMPUTED_VALUE"""),"কৃষক")</f>
        <v>কৃষক</v>
      </c>
      <c r="I224" s="1" t="str">
        <f>IFERROR(__xludf.DUMMYFUNCTION("""COMPUTED_VALUE"""),"মহিষাখোলা")</f>
        <v>মহিষাখোলা</v>
      </c>
      <c r="J224" s="1" t="str">
        <f>IFERROR(__xludf.DUMMYFUNCTION("""COMPUTED_VALUE""")," গাংনী")</f>
        <v> গাংনী</v>
      </c>
      <c r="K224" s="1" t="str">
        <f>IFERROR(__xludf.DUMMYFUNCTION("""COMPUTED_VALUE""")," মেহেরপুর")</f>
        <v> মেহেরপুর</v>
      </c>
    </row>
    <row r="225">
      <c r="A225" s="6" t="s">
        <v>2310</v>
      </c>
      <c r="B225" s="1">
        <f>IFERROR(__xludf.DUMMYFUNCTION("SPLIT(A225,"","")"),227.0)</f>
        <v>227</v>
      </c>
      <c r="C225" s="1" t="str">
        <f>IFERROR(__xludf.DUMMYFUNCTION("""COMPUTED_VALUE"""),"মোহাঃ মোয়াজ্জেম হোসেন")</f>
        <v>মোহাঃ মোয়াজ্জেম হোসেন</v>
      </c>
      <c r="D225" s="1">
        <f>IFERROR(__xludf.DUMMYFUNCTION("""COMPUTED_VALUE"""),5.70054375114E11)</f>
        <v>570054375114</v>
      </c>
      <c r="E225" s="1" t="str">
        <f>IFERROR(__xludf.DUMMYFUNCTION("""COMPUTED_VALUE"""),"জেহের মন্ডল")</f>
        <v>জেহের মন্ডল</v>
      </c>
      <c r="F225" s="1" t="str">
        <f>IFERROR(__xludf.DUMMYFUNCTION("""COMPUTED_VALUE"""),"মোছাঃ নেকজান খাতুন")</f>
        <v>মোছাঃ নেকজান খাতুন</v>
      </c>
      <c r="G225" s="1" t="str">
        <f>IFERROR(__xludf.DUMMYFUNCTION("""COMPUTED_VALUE"""),"২৫/০৭/১৯৪৯")</f>
        <v>২৫/০৭/১৯৪৯</v>
      </c>
      <c r="H225" s="1" t="str">
        <f>IFERROR(__xludf.DUMMYFUNCTION("""COMPUTED_VALUE"""),"কৃষক")</f>
        <v>কৃষক</v>
      </c>
      <c r="I225" s="1" t="str">
        <f>IFERROR(__xludf.DUMMYFUNCTION("""COMPUTED_VALUE"""),"মহিষাখোলা")</f>
        <v>মহিষাখোলা</v>
      </c>
      <c r="J225" s="1" t="str">
        <f>IFERROR(__xludf.DUMMYFUNCTION("""COMPUTED_VALUE""")," গাংনী")</f>
        <v> গাংনী</v>
      </c>
      <c r="K225" s="1" t="str">
        <f>IFERROR(__xludf.DUMMYFUNCTION("""COMPUTED_VALUE""")," মেহেরপুর")</f>
        <v> মেহেরপুর</v>
      </c>
    </row>
    <row r="226">
      <c r="A226" s="6" t="s">
        <v>2311</v>
      </c>
      <c r="B226" s="1">
        <f>IFERROR(__xludf.DUMMYFUNCTION("SPLIT(A226,"","")"),228.0)</f>
        <v>228</v>
      </c>
      <c r="C226" s="1" t="str">
        <f>IFERROR(__xludf.DUMMYFUNCTION("""COMPUTED_VALUE"""),"মোঃ আঃ রাজ্জাক")</f>
        <v>মোঃ আঃ রাজ্জাক</v>
      </c>
      <c r="D226" s="1">
        <f>IFERROR(__xludf.DUMMYFUNCTION("""COMPUTED_VALUE"""),5.70054375115E11)</f>
        <v>570054375115</v>
      </c>
      <c r="E226" s="1" t="str">
        <f>IFERROR(__xludf.DUMMYFUNCTION("""COMPUTED_VALUE"""),"মোঃ মোয়াজ্জেম হোসেন")</f>
        <v>মোঃ মোয়াজ্জেম হোসেন</v>
      </c>
      <c r="F226" s="1" t="str">
        <f>IFERROR(__xludf.DUMMYFUNCTION("""COMPUTED_VALUE"""),"মোছাঃ রাহিমা খাতুন")</f>
        <v>মোছাঃ রাহিমা খাতুন</v>
      </c>
      <c r="G226" s="1" t="str">
        <f>IFERROR(__xludf.DUMMYFUNCTION("""COMPUTED_VALUE"""),"০৫/১০/১৯৭৭")</f>
        <v>০৫/১০/১৯৭৭</v>
      </c>
      <c r="H226" s="1" t="str">
        <f>IFERROR(__xludf.DUMMYFUNCTION("""COMPUTED_VALUE"""),"কৃষক")</f>
        <v>কৃষক</v>
      </c>
      <c r="I226" s="1" t="str">
        <f>IFERROR(__xludf.DUMMYFUNCTION("""COMPUTED_VALUE"""),"মহিষাখোলা")</f>
        <v>মহিষাখোলা</v>
      </c>
      <c r="J226" s="1" t="str">
        <f>IFERROR(__xludf.DUMMYFUNCTION("""COMPUTED_VALUE""")," গাংনী")</f>
        <v> গাংনী</v>
      </c>
      <c r="K226" s="1" t="str">
        <f>IFERROR(__xludf.DUMMYFUNCTION("""COMPUTED_VALUE""")," মেহেরপুর")</f>
        <v> মেহেরপুর</v>
      </c>
    </row>
    <row r="227">
      <c r="A227" s="6" t="s">
        <v>2312</v>
      </c>
      <c r="B227" s="1">
        <f>IFERROR(__xludf.DUMMYFUNCTION("SPLIT(A227,"","")"),229.0)</f>
        <v>229</v>
      </c>
      <c r="C227" s="1" t="str">
        <f>IFERROR(__xludf.DUMMYFUNCTION("""COMPUTED_VALUE"""),"মোঃ তারিকুল ইসলাম")</f>
        <v>মোঃ তারিকুল ইসলাম</v>
      </c>
      <c r="D227" s="1">
        <f>IFERROR(__xludf.DUMMYFUNCTION("""COMPUTED_VALUE"""),5.70054375117E11)</f>
        <v>570054375117</v>
      </c>
      <c r="E227" s="1" t="str">
        <f>IFERROR(__xludf.DUMMYFUNCTION("""COMPUTED_VALUE"""),"মোঃ মোয়াজ্জেম হোসেন")</f>
        <v>মোঃ মোয়াজ্জেম হোসেন</v>
      </c>
      <c r="F227" s="1" t="str">
        <f>IFERROR(__xludf.DUMMYFUNCTION("""COMPUTED_VALUE"""),"মোছাঃ রাহিমা খাতুন")</f>
        <v>মোছাঃ রাহিমা খাতুন</v>
      </c>
      <c r="G227" s="1" t="str">
        <f>IFERROR(__xludf.DUMMYFUNCTION("""COMPUTED_VALUE"""),"৩০/০৬/১৯৮২")</f>
        <v>৩০/০৬/১৯৮২</v>
      </c>
      <c r="H227" s="1" t="str">
        <f>IFERROR(__xludf.DUMMYFUNCTION("""COMPUTED_VALUE"""),"কৃষক")</f>
        <v>কৃষক</v>
      </c>
      <c r="I227" s="1" t="str">
        <f>IFERROR(__xludf.DUMMYFUNCTION("""COMPUTED_VALUE"""),"মহিষাখোলা")</f>
        <v>মহিষাখোলা</v>
      </c>
      <c r="J227" s="1" t="str">
        <f>IFERROR(__xludf.DUMMYFUNCTION("""COMPUTED_VALUE""")," গাংনী")</f>
        <v> গাংনী</v>
      </c>
      <c r="K227" s="1" t="str">
        <f>IFERROR(__xludf.DUMMYFUNCTION("""COMPUTED_VALUE""")," মেহেরপুর")</f>
        <v> মেহেরপুর</v>
      </c>
    </row>
    <row r="228">
      <c r="A228" s="6" t="s">
        <v>2313</v>
      </c>
      <c r="B228" s="1">
        <f>IFERROR(__xludf.DUMMYFUNCTION("SPLIT(A228,"","")"),230.0)</f>
        <v>230</v>
      </c>
      <c r="C228" s="1" t="str">
        <f>IFERROR(__xludf.DUMMYFUNCTION("""COMPUTED_VALUE"""),"মোহাঃ ঈমান আলী")</f>
        <v>মোহাঃ ঈমান আলী</v>
      </c>
      <c r="D228" s="1">
        <f>IFERROR(__xludf.DUMMYFUNCTION("""COMPUTED_VALUE"""),5.70054375122E11)</f>
        <v>570054375122</v>
      </c>
      <c r="E228" s="1" t="str">
        <f>IFERROR(__xludf.DUMMYFUNCTION("""COMPUTED_VALUE"""),"মোজাহার শেখ")</f>
        <v>মোজাহার শেখ</v>
      </c>
      <c r="F228" s="1" t="str">
        <f>IFERROR(__xludf.DUMMYFUNCTION("""COMPUTED_VALUE"""),"মোছাঃ আবেদা খাতুন")</f>
        <v>মোছাঃ আবেদা খাতুন</v>
      </c>
      <c r="G228" s="1" t="str">
        <f>IFERROR(__xludf.DUMMYFUNCTION("""COMPUTED_VALUE"""),"০৫/০৬/১৯৩৫")</f>
        <v>০৫/০৬/১৯৩৫</v>
      </c>
      <c r="H228" s="1" t="str">
        <f>IFERROR(__xludf.DUMMYFUNCTION("""COMPUTED_VALUE"""),"কৃষক")</f>
        <v>কৃষক</v>
      </c>
      <c r="I228" s="1" t="str">
        <f>IFERROR(__xludf.DUMMYFUNCTION("""COMPUTED_VALUE"""),"মহিষাখোলা")</f>
        <v>মহিষাখোলা</v>
      </c>
      <c r="J228" s="1" t="str">
        <f>IFERROR(__xludf.DUMMYFUNCTION("""COMPUTED_VALUE""")," গাংনী")</f>
        <v> গাংনী</v>
      </c>
      <c r="K228" s="1" t="str">
        <f>IFERROR(__xludf.DUMMYFUNCTION("""COMPUTED_VALUE""")," মেহেরপুর")</f>
        <v> মেহেরপুর</v>
      </c>
    </row>
    <row r="229">
      <c r="A229" s="6" t="s">
        <v>2314</v>
      </c>
      <c r="B229" s="1">
        <f>IFERROR(__xludf.DUMMYFUNCTION("SPLIT(A229,"","")"),231.0)</f>
        <v>231</v>
      </c>
      <c r="C229" s="1" t="str">
        <f>IFERROR(__xludf.DUMMYFUNCTION("""COMPUTED_VALUE"""),"মোঃ বাবলু হোসেন")</f>
        <v>মোঃ বাবলু হোসেন</v>
      </c>
      <c r="D229" s="1">
        <f>IFERROR(__xludf.DUMMYFUNCTION("""COMPUTED_VALUE"""),5.70054375127E11)</f>
        <v>570054375127</v>
      </c>
      <c r="E229" s="1" t="str">
        <f>IFERROR(__xludf.DUMMYFUNCTION("""COMPUTED_VALUE"""),"মোঃ সলেমান মন্ডল")</f>
        <v>মোঃ সলেমান মন্ডল</v>
      </c>
      <c r="F229" s="1" t="str">
        <f>IFERROR(__xludf.DUMMYFUNCTION("""COMPUTED_VALUE"""),"মোছাঃ রাহেলা খাতুন")</f>
        <v>মোছাঃ রাহেলা খাতুন</v>
      </c>
      <c r="G229" s="1" t="str">
        <f>IFERROR(__xludf.DUMMYFUNCTION("""COMPUTED_VALUE"""),"০৫/০৬/১৯৭৭")</f>
        <v>০৫/০৬/১৯৭৭</v>
      </c>
      <c r="H229" s="1" t="str">
        <f>IFERROR(__xludf.DUMMYFUNCTION("""COMPUTED_VALUE"""),"কৃষক")</f>
        <v>কৃষক</v>
      </c>
      <c r="I229" s="1" t="str">
        <f>IFERROR(__xludf.DUMMYFUNCTION("""COMPUTED_VALUE"""),"মহিষাখোলা")</f>
        <v>মহিষাখোলা</v>
      </c>
      <c r="J229" s="1" t="str">
        <f>IFERROR(__xludf.DUMMYFUNCTION("""COMPUTED_VALUE""")," গাংনী")</f>
        <v> গাংনী</v>
      </c>
      <c r="K229" s="1" t="str">
        <f>IFERROR(__xludf.DUMMYFUNCTION("""COMPUTED_VALUE""")," মেহেরপুর")</f>
        <v> মেহেরপুর</v>
      </c>
    </row>
  </sheetData>
  <drawing r:id="rId1"/>
</worksheet>
</file>