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7X1qSLEb3YdFntvXvdRtvmOrBLSIkaJhERvR6s+70Xo="/>
    </ext>
  </extLst>
</workbook>
</file>

<file path=xl/sharedStrings.xml><?xml version="1.0" encoding="utf-8"?>
<sst xmlns="http://schemas.openxmlformats.org/spreadsheetml/2006/main" count="4743" uniqueCount="2357">
  <si>
    <t>ক্রমিক নং</t>
  </si>
  <si>
    <t>নাম</t>
  </si>
  <si>
    <t>ভোটার নং</t>
  </si>
  <si>
    <t>পিতা</t>
  </si>
  <si>
    <t>মাতা</t>
  </si>
  <si>
    <t>জন্ম তারিখ</t>
  </si>
  <si>
    <t>পেশা</t>
  </si>
  <si>
    <t>ঠিকানা</t>
  </si>
  <si>
    <t>মোছাঃ সুমাইয়া খাতুন</t>
  </si>
  <si>
    <t>মোঃ ছরমান আলী</t>
  </si>
  <si>
    <t>মোছাঃ রেকসন খাতুন</t>
  </si>
  <si>
    <t>০৮/০৮/২০০৪</t>
  </si>
  <si>
    <t>গৃহিণী</t>
  </si>
  <si>
    <t>চান্দামারি, শানঘাট, গাংনী, মেহেরপুর</t>
  </si>
  <si>
    <t>মোছাঃ মমিনা খাতুন</t>
  </si>
  <si>
    <t>খোরশেদ</t>
  </si>
  <si>
    <t>মোছাঃ মইফুল খাতুন</t>
  </si>
  <si>
    <t>১০/১০/১৯৭২</t>
  </si>
  <si>
    <t>মহিষাখোলা, গাংনী, মেহেরপুর</t>
  </si>
  <si>
    <t xml:space="preserve"> গাংনী</t>
  </si>
  <si>
    <t xml:space="preserve"> শানঘাট</t>
  </si>
  <si>
    <t>মোছাঃ আয়েশা খাতুন</t>
  </si>
  <si>
    <t>হায়দার আলী মোল্লা</t>
  </si>
  <si>
    <t>রওশনয়ারা</t>
  </si>
  <si>
    <t>০১/০১/১৯৩৮</t>
  </si>
  <si>
    <t xml:space="preserve"> মেহেরপুর"</t>
  </si>
  <si>
    <t xml:space="preserve"> মেহেরপুর</t>
  </si>
  <si>
    <t>মোছাঃ রমেছা বেগম</t>
  </si>
  <si>
    <t>মোঃ আফজাল হোসেন</t>
  </si>
  <si>
    <t>হামেদা বেগম</t>
  </si>
  <si>
    <t>১০/১০/১৯৭৫</t>
  </si>
  <si>
    <t>মোছাঃ বিলকিছ আরা</t>
  </si>
  <si>
    <t>মোঃ নাজিরউদ্দীন</t>
  </si>
  <si>
    <t>মোছাঃ হিয়াতন নেছা</t>
  </si>
  <si>
    <t>১০/০৫/১৯৮৫</t>
  </si>
  <si>
    <t>মোছাঃ নুরজাহান</t>
  </si>
  <si>
    <t>মোঃ মহসীন মন্ডল</t>
  </si>
  <si>
    <t>মোছাঃ ওসিকা খাতুন</t>
  </si>
  <si>
    <t>১০/০৫/১৯৭৭</t>
  </si>
  <si>
    <t>মোছাঃ মরিয়ম</t>
  </si>
  <si>
    <t>নূরী ইসলাম</t>
  </si>
  <si>
    <t>মোছাঃ জায়েদা খাতুন</t>
  </si>
  <si>
    <t>১০/০৬/১৯৭৭</t>
  </si>
  <si>
    <t>মোছাঃ রহিদা খাতুন</t>
  </si>
  <si>
    <t>আব্দুল হামিদ</t>
  </si>
  <si>
    <t>মোছাঃ জহুরা খাতুন</t>
  </si>
  <si>
    <t>১২/১০/১৯৬৭</t>
  </si>
  <si>
    <t>মোছাঃ ছামেনা খাতুন</t>
  </si>
  <si>
    <t>মোঃ ইছাহক</t>
  </si>
  <si>
    <t>মোছাঃ ফুরু</t>
  </si>
  <si>
    <t>৩০/১১/১৯৬৪</t>
  </si>
  <si>
    <t>মোছাঃ রওশনারা</t>
  </si>
  <si>
    <t>ইছাহক বিশ্বাস</t>
  </si>
  <si>
    <t>মোছাঃ জমেলা খাতুন</t>
  </si>
  <si>
    <t>১২/০৫/১৯৬৫</t>
  </si>
  <si>
    <t>মোছাঃ রেহেনা খাতুন</t>
  </si>
  <si>
    <t>ঈমান মন্ডল</t>
  </si>
  <si>
    <t>মোছাঃ রাবিয়া</t>
  </si>
  <si>
    <t>১৫/১০/১৯৫৫</t>
  </si>
  <si>
    <t>মোছাঃ পারুলা খাতুন</t>
  </si>
  <si>
    <t>মোঃ মুক্তার আলী</t>
  </si>
  <si>
    <t>মোছাঃ আরেছা খাতুন</t>
  </si>
  <si>
    <t>১২/০৬/১৯৮২</t>
  </si>
  <si>
    <t>মোছাঃ কোহিনুর বেগম</t>
  </si>
  <si>
    <t>রিয়াজ উদ্দীন</t>
  </si>
  <si>
    <t>রমেলা খাতুন</t>
  </si>
  <si>
    <t>মোছাঃ রাশিদা খাতুন</t>
  </si>
  <si>
    <t>তাহাজদ্দীন</t>
  </si>
  <si>
    <t>মোছাঃ বিবিজান</t>
  </si>
  <si>
    <t>১২/১০/১৯৭৯</t>
  </si>
  <si>
    <t>মোছাঃ আনোয়ারা খাতুন</t>
  </si>
  <si>
    <t>আব্দুস সাত্তার</t>
  </si>
  <si>
    <t>মোছাঃ সাহেদা</t>
  </si>
  <si>
    <t>১২/১০/১৯৭৭</t>
  </si>
  <si>
    <t>মোছাঃ আবেদা খাতুন</t>
  </si>
  <si>
    <t>নুর বকস</t>
  </si>
  <si>
    <t>মোছাঃ সোকিনা খাতুন</t>
  </si>
  <si>
    <t>মোছাঃ জাহানারা খাতুন</t>
  </si>
  <si>
    <t>মোঃ নজিমদ্দীন</t>
  </si>
  <si>
    <t>মোছাঃ সফুরা খাতুন</t>
  </si>
  <si>
    <t>১২/১০/১৯৮৫</t>
  </si>
  <si>
    <t>মোছাঃ আছিয়া খাতুন</t>
  </si>
  <si>
    <t>মোঃ আব্দুল রশিদ</t>
  </si>
  <si>
    <t>মোছাঃ মমেনা খাতুন</t>
  </si>
  <si>
    <t>১২/০৫/১৯৮৯</t>
  </si>
  <si>
    <t>মোছাঃ আলিয়া খাতুন</t>
  </si>
  <si>
    <t>আবুল কাশেম</t>
  </si>
  <si>
    <t>মোছাঃ আবেদা</t>
  </si>
  <si>
    <t>১০/১০/১৯৬২</t>
  </si>
  <si>
    <t>মোছাঃ আম্বিয়া খাতুন</t>
  </si>
  <si>
    <t>মোঃ হাইয়াত</t>
  </si>
  <si>
    <t>মোছাঃ সুরাতন</t>
  </si>
  <si>
    <t>১০/১০/১৯৫২</t>
  </si>
  <si>
    <t>মোছাঃ তহুরা খাতুন</t>
  </si>
  <si>
    <t>মোঃ হযরত আলী</t>
  </si>
  <si>
    <t>মোছাঃ কহিনুর</t>
  </si>
  <si>
    <t>মোছাঃ সানিয়া খাতুন</t>
  </si>
  <si>
    <t>মোঃ শমসের</t>
  </si>
  <si>
    <t>মোছাঃ ময়না খাতুন</t>
  </si>
  <si>
    <t>১০/১০/১৯৮২</t>
  </si>
  <si>
    <t>মোছাঃ কহিনুর খাতুন</t>
  </si>
  <si>
    <t>মোঃ আকতার আলী</t>
  </si>
  <si>
    <t>মোছাঃ ফিরোজা খাতুন</t>
  </si>
  <si>
    <t>১২/১০/১৯৮৭</t>
  </si>
  <si>
    <t>মোঃ হিফজ উদ্দীন</t>
  </si>
  <si>
    <t>মোছাঃ নয়তন নেছা</t>
  </si>
  <si>
    <t>১২/০৫/১৯৬৭</t>
  </si>
  <si>
    <t>মোছাঃ জবেদা খাতুন</t>
  </si>
  <si>
    <t>দুঃখী মন্ডল</t>
  </si>
  <si>
    <t>মোছাঃ সারা খাতুন</t>
  </si>
  <si>
    <t>১২/১০/১৯৮২</t>
  </si>
  <si>
    <t>মোছাঃ বেদানা খাতুন</t>
  </si>
  <si>
    <t>মোঃ শহিদুল</t>
  </si>
  <si>
    <t>মোছাঃ আকলিমা</t>
  </si>
  <si>
    <t>১২/১০/১৯৮৪</t>
  </si>
  <si>
    <t>মোছাঃ হালিমা খাতুন</t>
  </si>
  <si>
    <t>আঃ কাদের</t>
  </si>
  <si>
    <t>মোছাঃ মাহিরন</t>
  </si>
  <si>
    <t>মোছাঃ আমেনা খাতুন</t>
  </si>
  <si>
    <t>মোঃ ফয়জদ্দীন</t>
  </si>
  <si>
    <t>মোছাঃ হাসেনা</t>
  </si>
  <si>
    <t>১০/০৮/১৯৭১</t>
  </si>
  <si>
    <t>মোছাঃ পান্না খাতুন</t>
  </si>
  <si>
    <t>মোঃ আরসাফ মন্ডল</t>
  </si>
  <si>
    <t>১০/০৪/১৯৮১</t>
  </si>
  <si>
    <t>মোছাঃ বেদেনা খাতুন</t>
  </si>
  <si>
    <t>মোঃ হাতেম বিশ্বাস</t>
  </si>
  <si>
    <t>মোছাঃ আনজিরা</t>
  </si>
  <si>
    <t>১২/১০/১৯৮৩</t>
  </si>
  <si>
    <t>মোছাঃ দিপালী খাতুন</t>
  </si>
  <si>
    <t>মোঃ কিফাত মন্ডল</t>
  </si>
  <si>
    <t>মোছাঃ আরজিয়া খাতুন</t>
  </si>
  <si>
    <t>১৫/০৫/১৯৮৪</t>
  </si>
  <si>
    <t>মোছাঃ ডলি আরা</t>
  </si>
  <si>
    <t>রবকুল বিশ্বাস</t>
  </si>
  <si>
    <t>মোছাঃ নিহারন</t>
  </si>
  <si>
    <t>মোছাঃ মনোয়ারা খাতুন</t>
  </si>
  <si>
    <t>আঃ সাত্তার</t>
  </si>
  <si>
    <t>মোছাঃ রাবিয়া খাতুন</t>
  </si>
  <si>
    <t>মোছাঃ মনোয়ারা</t>
  </si>
  <si>
    <t>মোঃ আঃ বারাজ</t>
  </si>
  <si>
    <t>মোছাঃ আনরা খাতুন</t>
  </si>
  <si>
    <t>১০/০২/১৯৬২</t>
  </si>
  <si>
    <t>মোছাঃ সিয়াতন নেছা</t>
  </si>
  <si>
    <t>বিলাত মালিথা</t>
  </si>
  <si>
    <t>মোছাঃ খুকী</t>
  </si>
  <si>
    <t>১২/১০/১৯৪৭</t>
  </si>
  <si>
    <t>মোছাঃ জাহেদা খাতুন</t>
  </si>
  <si>
    <t>বাসী মন্ডল</t>
  </si>
  <si>
    <t>মোছাঃ ফুলজান</t>
  </si>
  <si>
    <t>১০/০৫/১৯৪৯</t>
  </si>
  <si>
    <t>মোছাঃ ফাহিমা খাতুন</t>
  </si>
  <si>
    <t>মোঃ বাবুর আলী</t>
  </si>
  <si>
    <t>১৬/০৫/১৯৮৭</t>
  </si>
  <si>
    <t>রাহিলদ্দীন</t>
  </si>
  <si>
    <t>১০/০৫/১৯৬৭</t>
  </si>
  <si>
    <t>শামছুদ্দীন</t>
  </si>
  <si>
    <t>১৬/০৬/১৯৮২</t>
  </si>
  <si>
    <t>মোঃ আঃ রশিদ</t>
  </si>
  <si>
    <t>মোছাঃ সামসুন্নাহার</t>
  </si>
  <si>
    <t>মোছাঃ রহিমা খাতুন</t>
  </si>
  <si>
    <t>ইরাজ মন্ডল</t>
  </si>
  <si>
    <t>রেফল</t>
  </si>
  <si>
    <t>১২/১০/১৯৫৫</t>
  </si>
  <si>
    <t>মোছাঃ সাহেদা খাতুন</t>
  </si>
  <si>
    <t>মোঃ রবজেল সেখ</t>
  </si>
  <si>
    <t>১২/০৫/১৯৪৯</t>
  </si>
  <si>
    <t>মোছাঃ ফাতেমা খাতুন</t>
  </si>
  <si>
    <t>মর্জেম বিশ্বাস</t>
  </si>
  <si>
    <t>১২/০৫/১৯৭৭</t>
  </si>
  <si>
    <t>মোছাঃ তহমিনা খাতুন</t>
  </si>
  <si>
    <t>মোঃ মিনাজ মন্ডল</t>
  </si>
  <si>
    <t>মোছাঃ আনুরা</t>
  </si>
  <si>
    <t>১০/১০/১৯৬৭</t>
  </si>
  <si>
    <t>মোছাঃ আংগুরা খাতুন</t>
  </si>
  <si>
    <t>ইসলাম মন্ডল</t>
  </si>
  <si>
    <t>মোছাঃ আমেনা</t>
  </si>
  <si>
    <t>১৫/০৪/১৯৮২</t>
  </si>
  <si>
    <t>মোছাঃ সামছুন্নাহার</t>
  </si>
  <si>
    <t>গনি মন্ডল</t>
  </si>
  <si>
    <t>মোছাঃ আনোয়ারা</t>
  </si>
  <si>
    <t>১০/০২/১৯৬৭</t>
  </si>
  <si>
    <t>নইমদ্দীন</t>
  </si>
  <si>
    <t>মোছাঃ খোদেজা</t>
  </si>
  <si>
    <t>১৫/০২/১৯৭২</t>
  </si>
  <si>
    <t>মোছাঃ শিউলী আরা</t>
  </si>
  <si>
    <t>রহমতুল্লাহ</t>
  </si>
  <si>
    <t>মোছাঃ গোলেনুর</t>
  </si>
  <si>
    <t>মোছাঃ রুপিয়া খাতুন</t>
  </si>
  <si>
    <t>খবির উদ্দিন</t>
  </si>
  <si>
    <t>মোছাঃ রোকিনা খাতুন</t>
  </si>
  <si>
    <t>১২/০২/১৯৬৫</t>
  </si>
  <si>
    <t>মোছাঃ সানজিদা খাতুন</t>
  </si>
  <si>
    <t>মোঃ আমছার</t>
  </si>
  <si>
    <t>দাউদ মালিথা</t>
  </si>
  <si>
    <t>মোছাঃ খাইরুন নেছা</t>
  </si>
  <si>
    <t>১০/০৬/১৯৭৬</t>
  </si>
  <si>
    <t>মোছাঃ পাপিয়া খাতুন</t>
  </si>
  <si>
    <t>মোঃ মফু মন্ডল</t>
  </si>
  <si>
    <t>মোছাঃ সজিনা</t>
  </si>
  <si>
    <t>২০/১২/১৯৭৩</t>
  </si>
  <si>
    <t>মোছাঃ হাজেরা খাতুন</t>
  </si>
  <si>
    <t>কালাচাঁদ মন্ডল</t>
  </si>
  <si>
    <t>১০/০৪/১৯৮২</t>
  </si>
  <si>
    <t>মোছাঃ সরলা খাতুন</t>
  </si>
  <si>
    <t>মোঃ ফয়জদ্দিন</t>
  </si>
  <si>
    <t>মোছাঃ রেজিয়া খাতুন</t>
  </si>
  <si>
    <t>মোছাঃ শেফালী খাতুন</t>
  </si>
  <si>
    <t>আজগর মন্ডল</t>
  </si>
  <si>
    <t>০৮/০৬/১৯৭৫</t>
  </si>
  <si>
    <t>আবুল মন্ডল</t>
  </si>
  <si>
    <t>মোছাঃ কহিনুর বেগম</t>
  </si>
  <si>
    <t>০৫/০৭/১৯৬৯</t>
  </si>
  <si>
    <t>মোছাঃ বিবিজান নেছা</t>
  </si>
  <si>
    <t>হছেন মালিথা</t>
  </si>
  <si>
    <t>মোছাঃ হেনা বেগম</t>
  </si>
  <si>
    <t>২০/১০/১৯৪২</t>
  </si>
  <si>
    <t>মোছাঃ বেলি খাতুন</t>
  </si>
  <si>
    <t>মোঃ আবেদ আলী</t>
  </si>
  <si>
    <t>মোছাঃ সাহার বানু</t>
  </si>
  <si>
    <t>২১/১১/১৯৭৩</t>
  </si>
  <si>
    <t>মোছাঃ হুরজান খাতুন</t>
  </si>
  <si>
    <t>গোলাম রসুল</t>
  </si>
  <si>
    <t>১১/০৭/১৯৬৯</t>
  </si>
  <si>
    <t>মোছাঃ খাইরন নেছা</t>
  </si>
  <si>
    <t>ছাকেন উদ্দীন</t>
  </si>
  <si>
    <t>মোছাঃ গোলেজান বিবি</t>
  </si>
  <si>
    <t>১০/০৪/১৯৫৯</t>
  </si>
  <si>
    <t>রিয়াজ মন্ডল</t>
  </si>
  <si>
    <t>মোছাঃ নিবারন নেছা</t>
  </si>
  <si>
    <t>১০/০৫/১৯৮৬</t>
  </si>
  <si>
    <t>মোছাঃ মইফুল নেছা</t>
  </si>
  <si>
    <t>আতর আলী</t>
  </si>
  <si>
    <t>মোছাঃ নীথরী খাতুন</t>
  </si>
  <si>
    <t>২০/১০/১৯৪৭</t>
  </si>
  <si>
    <t>মোছাঃ মর্জিনা খাতুন</t>
  </si>
  <si>
    <t>সহিদ বকস</t>
  </si>
  <si>
    <t>মোছাঃ নুরজাহান বেগম</t>
  </si>
  <si>
    <t>০৬/০৫/১৯৬৯</t>
  </si>
  <si>
    <t>মোছাঃ মুর্শিদা খাতুন</t>
  </si>
  <si>
    <t>শহিদ বকস</t>
  </si>
  <si>
    <t>মোছাঃ তাহারন খাতুন</t>
  </si>
  <si>
    <t>২৫/০৬/১৯৮৮</t>
  </si>
  <si>
    <t>মোছাঃ ছালমা খাতুন</t>
  </si>
  <si>
    <t>মোঃ আলেক হোসেন</t>
  </si>
  <si>
    <t>০৫/০৭/১৯৮৪</t>
  </si>
  <si>
    <t>মোছাঃ খালেদা খাতুন</t>
  </si>
  <si>
    <t>নূর ইসলাম মুন্সি</t>
  </si>
  <si>
    <t>০৬/০৯/১৯৬৭</t>
  </si>
  <si>
    <t>মোছাঃ ছবেদা খাতুন</t>
  </si>
  <si>
    <t>নূর বকস মন্ডল</t>
  </si>
  <si>
    <t>মোছাঃ ছারা খাতুন</t>
  </si>
  <si>
    <t>২৮/০৬/১৯৭১</t>
  </si>
  <si>
    <t>মোছাঃ হরিছন নেছা</t>
  </si>
  <si>
    <t>হায়দার আলী</t>
  </si>
  <si>
    <t>মোছাঃ গুলনাহার বেগম</t>
  </si>
  <si>
    <t>০৫/১১/১৯৭৯</t>
  </si>
  <si>
    <t>পিয়ার বকস</t>
  </si>
  <si>
    <t>মোছাঃ মর্জিনা বেগম</t>
  </si>
  <si>
    <t>১৫/১০/১৯৬৪</t>
  </si>
  <si>
    <t>মোছাঃ বানুয়ারা খাতুন</t>
  </si>
  <si>
    <t>জুড়োন মল্লিক</t>
  </si>
  <si>
    <t>মোছাঃ ছেরেজান খাতুন</t>
  </si>
  <si>
    <t>১০/১১/১৯৭০</t>
  </si>
  <si>
    <t>মোছাঃ তোজিনা খাতুন</t>
  </si>
  <si>
    <t>মোঃ আঃ খালেক</t>
  </si>
  <si>
    <t>মোছাঃ জরিনা খাতুন</t>
  </si>
  <si>
    <t>১৫/০৭/১৯৮১</t>
  </si>
  <si>
    <t>মোছাঃ নছিমন নেছা</t>
  </si>
  <si>
    <t>ছামছুদ্দীন মন্ডল</t>
  </si>
  <si>
    <t>০৫/১০/১৯৩৭</t>
  </si>
  <si>
    <t>দিদার বিশ্বাস</t>
  </si>
  <si>
    <t>১৪/০৮/১৯৭৩</t>
  </si>
  <si>
    <t>মোছাঃ রওশনারা খাতুন</t>
  </si>
  <si>
    <t>মোঃ ইউনুচ মোল্লা</t>
  </si>
  <si>
    <t>মোছাঃ হাওয়া খাতুন</t>
  </si>
  <si>
    <t>মোছাঃ হামেদা খাতুন</t>
  </si>
  <si>
    <t>ছাকিন উদ্দীন</t>
  </si>
  <si>
    <t>মোছাঃ গোলেজান নেছা</t>
  </si>
  <si>
    <t>২০/০৭/১৯৫২</t>
  </si>
  <si>
    <t>মোছাঃ নুরজাহান খাতুন</t>
  </si>
  <si>
    <t>মোছাঃ নছিমন খাতুন</t>
  </si>
  <si>
    <t>২০/১১/১৯৫২</t>
  </si>
  <si>
    <t>মোছাঃ রুমা খাতুন</t>
  </si>
  <si>
    <t>মোঃ আহালদ্দীন</t>
  </si>
  <si>
    <t>মোছাঃ ছালেহা খাতুন</t>
  </si>
  <si>
    <t>১৫/০৫/১৯৮১</t>
  </si>
  <si>
    <t>মোছাঃ জগোতারা খাতুন</t>
  </si>
  <si>
    <t>রহিম বকস</t>
  </si>
  <si>
    <t>১৫/০৫/১৯৭৫</t>
  </si>
  <si>
    <t>মোছাঃ জোসনা খাতুন</t>
  </si>
  <si>
    <t>ওহাব আলী</t>
  </si>
  <si>
    <t>মোছাঃ মনোয়ারা বেগম</t>
  </si>
  <si>
    <t>০৪/১০/১৯৮৯</t>
  </si>
  <si>
    <t>মোছাঃ রূপালী খাতুন</t>
  </si>
  <si>
    <t>মোঃ ছাদের আলী</t>
  </si>
  <si>
    <t>মোছাঃ তবিরন নেছা</t>
  </si>
  <si>
    <t>১৫/০৭/১৯৮৩</t>
  </si>
  <si>
    <t>ফজের আলী</t>
  </si>
  <si>
    <t>মোছাঃ রাহাতন বেগম</t>
  </si>
  <si>
    <t>১৫/০৮/১৯৪৭</t>
  </si>
  <si>
    <t>মোছাঃ নিহারন খাতুন</t>
  </si>
  <si>
    <t>মোঃ আবু বকর মন্ডল</t>
  </si>
  <si>
    <t>মোছাঃ ওজরা খাতুন</t>
  </si>
  <si>
    <t>১২/০৩/১৯৬৭</t>
  </si>
  <si>
    <t>মোঃ আঃ আলেক</t>
  </si>
  <si>
    <t>মোছাঃ আংগুরা বেগম</t>
  </si>
  <si>
    <t>১৫/০৮/১৯৮৮</t>
  </si>
  <si>
    <t>মোছাঃ রেকছোনা খাতুন</t>
  </si>
  <si>
    <t>শরিয়ত আলী</t>
  </si>
  <si>
    <t>০৫/০৩/১৯৮৮</t>
  </si>
  <si>
    <t>মোছাঃ আক্তারুন নাহার</t>
  </si>
  <si>
    <t>ঠান্ডু মন্ডল</t>
  </si>
  <si>
    <t>মোছাঃ ছানোয়ারা</t>
  </si>
  <si>
    <t>১৫/১০/১৯৭৭</t>
  </si>
  <si>
    <t>আঃ খালেক</t>
  </si>
  <si>
    <t>মোছাঃ সাহেদা বেগম</t>
  </si>
  <si>
    <t>১৫/০৫/১৯৮০</t>
  </si>
  <si>
    <t>মোছাঃ মাকছুরা খাতুন</t>
  </si>
  <si>
    <t>আইনাল মালিথা</t>
  </si>
  <si>
    <t>মোছাঃ ছালেহার খাতুন</t>
  </si>
  <si>
    <t>০৭/০২/১৯৭৯</t>
  </si>
  <si>
    <t>রওশন আলী</t>
  </si>
  <si>
    <t>আলতা মনি</t>
  </si>
  <si>
    <t>০৩/১০/১৯৩৭</t>
  </si>
  <si>
    <t>মোছাঃ রমেলা খাতুন</t>
  </si>
  <si>
    <t>খাতের মন্ডল</t>
  </si>
  <si>
    <t>মোছাঃ রমেছা খাতুন</t>
  </si>
  <si>
    <t>০৫/১০/১৯৪১</t>
  </si>
  <si>
    <t>মোছাঃ স্বপ্না আক্তার</t>
  </si>
  <si>
    <t>কলিমুদ্দীন মন্ডল</t>
  </si>
  <si>
    <t>মোছাঃ শরিফা বেগম</t>
  </si>
  <si>
    <t>০১/০১/১৯৮৪</t>
  </si>
  <si>
    <t>মোছাঃ মিনারা খাতুন</t>
  </si>
  <si>
    <t>মোঃ তছেন আলী</t>
  </si>
  <si>
    <t>মোছাঃ জহিরা খাতুন</t>
  </si>
  <si>
    <t>১৫/০৩/১৯৭২</t>
  </si>
  <si>
    <t>হাসেম আলী</t>
  </si>
  <si>
    <t>মোছাঃ লতিফন নেছা</t>
  </si>
  <si>
    <t>১০/০৪/১৯৬৯</t>
  </si>
  <si>
    <t>মোছাঃ নিছারন নেছা</t>
  </si>
  <si>
    <t>নস্কর মন্ডল</t>
  </si>
  <si>
    <t>মোছাঃ মিষ্টু খাতুন</t>
  </si>
  <si>
    <t>১৪/০৪/১৯৩৯</t>
  </si>
  <si>
    <t>মোঃ মোজাম্মেল হক</t>
  </si>
  <si>
    <t>২০/১২/১৯৬৭</t>
  </si>
  <si>
    <t>মোছাঃ রজিনা বেগম</t>
  </si>
  <si>
    <t>মোঃ মকবুল ইসলাম</t>
  </si>
  <si>
    <t>মোছাঃ আকলিমা বেগম</t>
  </si>
  <si>
    <t>০৭/১০/১৯৮১</t>
  </si>
  <si>
    <t>মোছাঃ সাহেরা খাতুন</t>
  </si>
  <si>
    <t>আমির উদ্দীন</t>
  </si>
  <si>
    <t>মোছাঃ মহিরন নেছা</t>
  </si>
  <si>
    <t>১০/০৩/১৯৭৩</t>
  </si>
  <si>
    <t>মোছাঃ শাহেদা খাতুন</t>
  </si>
  <si>
    <t>খলিল মন্ডল</t>
  </si>
  <si>
    <t>মোছাঃ জপিরন খাতুন</t>
  </si>
  <si>
    <t>৩০/০৪/১৯৭০</t>
  </si>
  <si>
    <t>মোছাঃ সাজেদা খাতুন</t>
  </si>
  <si>
    <t>মোঃ হাউস আলী</t>
  </si>
  <si>
    <t>১৫/০২/১৯৭১</t>
  </si>
  <si>
    <t>মোছাঃ সামছুন্নাহার খাতুন</t>
  </si>
  <si>
    <t>মোঃ ছারাক আলী</t>
  </si>
  <si>
    <t>২১/১১/১৯৭৫</t>
  </si>
  <si>
    <t>মোছাঃ সেলিনা খাতুন</t>
  </si>
  <si>
    <t>মোঃ কাশেম সেখ</t>
  </si>
  <si>
    <t>মোছাঃ জাহিরন নেছা</t>
  </si>
  <si>
    <t>০৫/০৩/১৯৮৩</t>
  </si>
  <si>
    <t>ইশারত জোয়ার্দ্দার</t>
  </si>
  <si>
    <t>মোছাঃ ইরফান নেছা</t>
  </si>
  <si>
    <t>৩০/১১/১৯৪২</t>
  </si>
  <si>
    <t>মোছাঃ উমোরা খাতুন</t>
  </si>
  <si>
    <t>উমবাদ আলী</t>
  </si>
  <si>
    <t>মোছাঃ সাহরন নেছা</t>
  </si>
  <si>
    <t>০৫/১০/১৯৭৪</t>
  </si>
  <si>
    <t>মোছাঃ নাসিমা খাতুন</t>
  </si>
  <si>
    <t>লিয়াকত আলী</t>
  </si>
  <si>
    <t>মোছাঃ ছামিরন নেছা</t>
  </si>
  <si>
    <t>১০/০৩/১৯৭৯</t>
  </si>
  <si>
    <t>শুকুর বিশ্বাস</t>
  </si>
  <si>
    <t>০৫/১০/১৯৭১</t>
  </si>
  <si>
    <t>মোছাঃ ছানোয়ারা খাতুন</t>
  </si>
  <si>
    <t>মোতালেব হোসেন</t>
  </si>
  <si>
    <t>নিবাছন বেগম</t>
  </si>
  <si>
    <t>৩০/১১/১৯৫৯</t>
  </si>
  <si>
    <t>মোছাঃ লিলুফা খাতুন</t>
  </si>
  <si>
    <t>মোঃ কফিল উদ্দীন</t>
  </si>
  <si>
    <t>মোছাঃ সুফিয়া বেগম</t>
  </si>
  <si>
    <t>১৫/০২/১৯৭৩</t>
  </si>
  <si>
    <t>মোঃ নাজিমুদ্দীন</t>
  </si>
  <si>
    <t>মোছাঃ ছবেদা বেগম</t>
  </si>
  <si>
    <t>০৭/০৯/১৯৮১</t>
  </si>
  <si>
    <t>মোছাঃ ছদিরন নেছা</t>
  </si>
  <si>
    <t>মাহামাদ মন্ডল</t>
  </si>
  <si>
    <t>মোছাঃ ডুবারন নেছা</t>
  </si>
  <si>
    <t>০৪/০৭/১৯৪৯</t>
  </si>
  <si>
    <t>মোছাঃ আকলিমা খাতুন</t>
  </si>
  <si>
    <t>মোঃ গঞ্জের মন্ডল</t>
  </si>
  <si>
    <t>মোছাঃ কমেলা বেগম</t>
  </si>
  <si>
    <t>২০/০৫/১৯৬৭</t>
  </si>
  <si>
    <t>মোছাঃ সহুরা খাতুন</t>
  </si>
  <si>
    <t>মওলা বকস</t>
  </si>
  <si>
    <t>মোছাঃ কমেলা খাতুন</t>
  </si>
  <si>
    <t>০৪/১০/১৯৭০</t>
  </si>
  <si>
    <t>মোছাঃ আলিফা খাতুন</t>
  </si>
  <si>
    <t>মোঃ আলতাব হোসেন</t>
  </si>
  <si>
    <t>মোছাঃ আমেনা বেগম</t>
  </si>
  <si>
    <t>০৫/০৩/১৯৮২</t>
  </si>
  <si>
    <t>মোছাঃ সুফিয়া খাতুন</t>
  </si>
  <si>
    <t>দুখুসেখ</t>
  </si>
  <si>
    <t>মোছাঃ রাহিমা বেগম</t>
  </si>
  <si>
    <t>৩১/১২/১৯৬০</t>
  </si>
  <si>
    <t>মোছাঃ আশরাফন নেছা</t>
  </si>
  <si>
    <t>মোঃ কাবাতুল্লাহ</t>
  </si>
  <si>
    <t>২০/০৬/১৯৭৭</t>
  </si>
  <si>
    <t>মোছাঃ টুনুয়ারা খাতুন</t>
  </si>
  <si>
    <t>মোঃ আজিজুল হক</t>
  </si>
  <si>
    <t>০৩/১০/১৯৮৫</t>
  </si>
  <si>
    <t>মোছাঃ মেরিনা খাতুন</t>
  </si>
  <si>
    <t>মোঃ আতিয়ার রহমান</t>
  </si>
  <si>
    <t>মোছাঃ বানিয়ারা খাতুন</t>
  </si>
  <si>
    <t>মোঃ আবুল কাশেম</t>
  </si>
  <si>
    <t>২৫/০৮/১৯৭১</t>
  </si>
  <si>
    <t>মোছাঃ মুসলিমা খাতুন</t>
  </si>
  <si>
    <t>আব্দুল মন্ডল</t>
  </si>
  <si>
    <t>৩১/১২/১৯৭১</t>
  </si>
  <si>
    <t>মোছাঃ মমতাজ বেগম</t>
  </si>
  <si>
    <t>মোঃ হরদম আলী</t>
  </si>
  <si>
    <t>মোছাঃ আসমা খাতুন</t>
  </si>
  <si>
    <t>০৫/১০/১৯৮৬</t>
  </si>
  <si>
    <t>ছামছুদ্দীন</t>
  </si>
  <si>
    <t>১৫/১০/১৯৬৩</t>
  </si>
  <si>
    <t>মোছাঃ সাহারন নেছা</t>
  </si>
  <si>
    <t>খেদের আলী মন্ডল</t>
  </si>
  <si>
    <t>মোছাঃ আলেজান বিবি</t>
  </si>
  <si>
    <t>২৫/১১/১৯৬৭</t>
  </si>
  <si>
    <t>মোছাঃ নুরুন্নাহার বেগম</t>
  </si>
  <si>
    <t>দাউদ আলী বিশ্বাস</t>
  </si>
  <si>
    <t>২১/০৩/১৯৬৯</t>
  </si>
  <si>
    <t>আব্দুল মোতালেব</t>
  </si>
  <si>
    <t>মোছাঃ হামিদা বেগম</t>
  </si>
  <si>
    <t>৩১/১২/১৯৭৮</t>
  </si>
  <si>
    <t>মোছাঃ পারভিনা খাতুন</t>
  </si>
  <si>
    <t>মোঃ আঃ গনি</t>
  </si>
  <si>
    <t>১০/০৪/১৯৮৩</t>
  </si>
  <si>
    <t>মোছাঃ রাশিরা খাতুন</t>
  </si>
  <si>
    <t>মোঃ আউব আলী</t>
  </si>
  <si>
    <t>২৫/০২/১৯৮০</t>
  </si>
  <si>
    <t>মোছাঃ নাজিরা খাতুন</t>
  </si>
  <si>
    <t>মানিক মন্ডল</t>
  </si>
  <si>
    <t>০৫/০৯/১৯৭০</t>
  </si>
  <si>
    <t>মোঃ গরিব উল্লাহ</t>
  </si>
  <si>
    <t>১৫/০৬/১৯৬৭</t>
  </si>
  <si>
    <t>ছলিমদ্দীন</t>
  </si>
  <si>
    <t>মফিজ উদ্দীন</t>
  </si>
  <si>
    <t>মোছাঃ আমিরন নেছা</t>
  </si>
  <si>
    <t>৩১/১২/১৯৭০</t>
  </si>
  <si>
    <t>মোছাঃ তাহিরন নেছা</t>
  </si>
  <si>
    <t>মোঃ হায়াত মন্ডল</t>
  </si>
  <si>
    <t>মোছাঃ ছুরাতন নেছা</t>
  </si>
  <si>
    <t>১০/০৪/১৯৮০</t>
  </si>
  <si>
    <t>আব্দুল বিশ্বাস</t>
  </si>
  <si>
    <t>মোছাঃ ছহিরন নেছা</t>
  </si>
  <si>
    <t>২০/০৮/১৯৫৭</t>
  </si>
  <si>
    <t>নেইমুদ্দীন</t>
  </si>
  <si>
    <t>মোছাঃ নিরমলা খাতুন</t>
  </si>
  <si>
    <t>২৫/০৪/১৯৭২</t>
  </si>
  <si>
    <t>মোছাঃ ফেরদৌসী আরা</t>
  </si>
  <si>
    <t>মোঃ আঃ হান্নান</t>
  </si>
  <si>
    <t>৩০/০৫/১৯৬৯</t>
  </si>
  <si>
    <t>মোছাঃ তছলিমা খাতুন</t>
  </si>
  <si>
    <t>আতাহার মন্ডল</t>
  </si>
  <si>
    <t>১০/০৯/১৯৭২</t>
  </si>
  <si>
    <t>মোছাঃ হালিমা বেগম</t>
  </si>
  <si>
    <t>চতুর মোল্লা</t>
  </si>
  <si>
    <t>মোছাঃ মরিয়ম বেগম</t>
  </si>
  <si>
    <t>১৫/০৩/১৯৬৯</t>
  </si>
  <si>
    <t>মোছাঃ পলি খাতুন</t>
  </si>
  <si>
    <t>মোঃ নুরু মোল্লা</t>
  </si>
  <si>
    <t>মোছাঃ জরিমন নেছা</t>
  </si>
  <si>
    <t>১০/০৬/১৯৮০</t>
  </si>
  <si>
    <t>মোছাঃ মাহাতন নেছা</t>
  </si>
  <si>
    <t>মহিরদ্দীন মন্ডল</t>
  </si>
  <si>
    <t>মোছাঃ আলতা বিবি</t>
  </si>
  <si>
    <t>২০/০৩/১৯৭৫</t>
  </si>
  <si>
    <t>মোঃ হায়াত আলী</t>
  </si>
  <si>
    <t>আউলিয়া খাতুন</t>
  </si>
  <si>
    <t>১৫/০৪/১৯৬৭</t>
  </si>
  <si>
    <t>মোঃ ফয়েজ উদ্দীন</t>
  </si>
  <si>
    <t>৩০/০৬/১৯৮৮</t>
  </si>
  <si>
    <t>মোছাঃ লিপি খাতুন</t>
  </si>
  <si>
    <t>রাজ্জাক মল্লিক</t>
  </si>
  <si>
    <t>মোছাঃ সুনাই বিবি</t>
  </si>
  <si>
    <t>১৭/১০/১৯৮৩</t>
  </si>
  <si>
    <t>মোছাঃ মহিলা খাতুন</t>
  </si>
  <si>
    <t>মোঃ মওলা বকস</t>
  </si>
  <si>
    <t>সুরাজ খাতুন</t>
  </si>
  <si>
    <t>১৫/১১/১৯৭০</t>
  </si>
  <si>
    <t>মোঃ আবদাল হক</t>
  </si>
  <si>
    <t>মোছাঃ ছদিমন নেছা</t>
  </si>
  <si>
    <t>০৭/০৬/১৯৬৭</t>
  </si>
  <si>
    <t>রন বকস</t>
  </si>
  <si>
    <t>১৯/০৭/১৯৬৭</t>
  </si>
  <si>
    <t>মোছাঃ শিলুফা খাতুন</t>
  </si>
  <si>
    <t>মোঃ বজলুর রহমান</t>
  </si>
  <si>
    <t>২০/০২/১৯৮৫</t>
  </si>
  <si>
    <t>মোছাঃ রুবিনা খাতুন</t>
  </si>
  <si>
    <t>মোঃ খাইরুল ইসলাম</t>
  </si>
  <si>
    <t>মোছাঃ মনুরা খাতুন</t>
  </si>
  <si>
    <t>১৩/০৬/১৯৮৩</t>
  </si>
  <si>
    <t>মোছাঃ আলতা খাতুন</t>
  </si>
  <si>
    <t>বকস মন্ডল</t>
  </si>
  <si>
    <t>১৪/০৬/১৯৬৭</t>
  </si>
  <si>
    <t>উষবাদ আলী</t>
  </si>
  <si>
    <t>মোছাঃ পিঞ্জিরা খাতুন</t>
  </si>
  <si>
    <t>মোছাঃ উজিলা খাতুন</t>
  </si>
  <si>
    <t>ছবিরদ্দীন</t>
  </si>
  <si>
    <t>০৮/১১/১৯৭৭</t>
  </si>
  <si>
    <t>মোছাঃ গলেনুর বেগম</t>
  </si>
  <si>
    <t>২০/০৪/১৯৬৭</t>
  </si>
  <si>
    <t>মোছাঃ কামরুন্নাহার খাতুন</t>
  </si>
  <si>
    <t>মোঃ আঃ কুদ্দুস</t>
  </si>
  <si>
    <t>মোছাঃ রুমেলা খাতুন</t>
  </si>
  <si>
    <t>১০/০৫/১৯৮২</t>
  </si>
  <si>
    <t>মোছাঃ মাহফুজা খাতুন</t>
  </si>
  <si>
    <t>আব্দুল আজিজ</t>
  </si>
  <si>
    <t>০৬/০৬/১৯৭৮</t>
  </si>
  <si>
    <t>মোছাঃ জীবন নাহার</t>
  </si>
  <si>
    <t>মোঃ মিনাজ উদ্দীন</t>
  </si>
  <si>
    <t>০৯/০৯/১৯৮৩</t>
  </si>
  <si>
    <t>মোঃ খেদ আলী মন্ডল</t>
  </si>
  <si>
    <t>মোছাঃ কোহিনুর খাতুন</t>
  </si>
  <si>
    <t>০৮/০৭/১৯৭৫</t>
  </si>
  <si>
    <t>হেকমত আলী</t>
  </si>
  <si>
    <t>মোছাঃ ছফেলা খাতুন</t>
  </si>
  <si>
    <t>২০/০৬/১৯৭২</t>
  </si>
  <si>
    <t>মোছাঃ মরিয়ম খাতুন</t>
  </si>
  <si>
    <t>ছলিমদ্দিন</t>
  </si>
  <si>
    <t>মোছাঃ রাহাতন নেছা</t>
  </si>
  <si>
    <t>০৭/০৫/১৯৭৭</t>
  </si>
  <si>
    <t>মোঃ ইসমাইল মন্ডল</t>
  </si>
  <si>
    <t>মোছাঃ জালেমন নেছা</t>
  </si>
  <si>
    <t>খোদা বকস মন্ডল</t>
  </si>
  <si>
    <t>মোছাঃ আসেনা খাতুন</t>
  </si>
  <si>
    <t>১০/০২/১৯৪৭</t>
  </si>
  <si>
    <t>মোছাঃ নাজমুন্নাহার খাতুন</t>
  </si>
  <si>
    <t>মোঃ আঃ আজিজ</t>
  </si>
  <si>
    <t>২০/১০/১৯৮৫</t>
  </si>
  <si>
    <t>মোছাঃ শেলিফা খাতুন</t>
  </si>
  <si>
    <t>মোঃ নুর ইসলাম</t>
  </si>
  <si>
    <t>২২/০৮/১৯৮৫</t>
  </si>
  <si>
    <t>মোছাঃ রোজিনা খাতুন</t>
  </si>
  <si>
    <t>মোঃ ফজলুর হক</t>
  </si>
  <si>
    <t>১৩/০৭/১৯৮৬</t>
  </si>
  <si>
    <t>মোছাঃ সাবারন নেছা</t>
  </si>
  <si>
    <t>১০/০২/১৯৪৯</t>
  </si>
  <si>
    <t>মোঃ রুহুল আমীন</t>
  </si>
  <si>
    <t>২৫/০৩/১৯৮০</t>
  </si>
  <si>
    <t>মজিবর রহমান</t>
  </si>
  <si>
    <t>মোছাঃ সাহার বানু বেগম</t>
  </si>
  <si>
    <t>১৫/০৬/১৯৭০</t>
  </si>
  <si>
    <t>মোছাঃ নাজমা খাতুন</t>
  </si>
  <si>
    <t>খেদের আলী</t>
  </si>
  <si>
    <t>মোঃ মহসিন আলী</t>
  </si>
  <si>
    <t>হাজেরা খাতুন</t>
  </si>
  <si>
    <t>মোছাঃ সাবানা খাতুন</t>
  </si>
  <si>
    <t>মোঃ সুলতান আলী</t>
  </si>
  <si>
    <t>১৯/০৬/১৯৮১</t>
  </si>
  <si>
    <t>মোছাঃ খাতুন বিবি</t>
  </si>
  <si>
    <t>কফিল মন্ডল</t>
  </si>
  <si>
    <t>নেকজান খাতুন</t>
  </si>
  <si>
    <t>১০/০৯/১৯২৭</t>
  </si>
  <si>
    <t>বেকার</t>
  </si>
  <si>
    <t>মাহামাদ আলী</t>
  </si>
  <si>
    <t>০৮/১০/১৯৬৯</t>
  </si>
  <si>
    <t>মোছাঃ রাজিয়া সুলতানা</t>
  </si>
  <si>
    <t>মোঃ রেজাউল হক</t>
  </si>
  <si>
    <t>মোছাঃ মুক্তয়ারা খাতুন</t>
  </si>
  <si>
    <t>৩১/১২/১৯৮৯</t>
  </si>
  <si>
    <t>মোছাঃ বুলবুলি খাতুন</t>
  </si>
  <si>
    <t>আমছার মন্ডল</t>
  </si>
  <si>
    <t>জারিনা খাতুন</t>
  </si>
  <si>
    <t>১৫/১০/১৯৭২</t>
  </si>
  <si>
    <t>মোছাঃ উলফাতন</t>
  </si>
  <si>
    <t>মোঃ রফিকুল ইসলাম</t>
  </si>
  <si>
    <t>২৩/০৮/১৯৮০</t>
  </si>
  <si>
    <t>মোঃ জান বকস</t>
  </si>
  <si>
    <t>মোছাঃ হাসেনা খাতুন</t>
  </si>
  <si>
    <t>১০/০৫/১৯৮৮</t>
  </si>
  <si>
    <t>মোছাঃ ছারেজান খাতুন</t>
  </si>
  <si>
    <t>ইলা মালিথা</t>
  </si>
  <si>
    <t>মোছাঃ খুকী খাতুন</t>
  </si>
  <si>
    <t>১০/০৫/১৯৩৭</t>
  </si>
  <si>
    <t>নুরু বকস</t>
  </si>
  <si>
    <t>মোছাঃ ছারজান খাতুন</t>
  </si>
  <si>
    <t>১৫/০৫/১৯৫৭</t>
  </si>
  <si>
    <t>মোছাঃ হাছেনা খাতুন</t>
  </si>
  <si>
    <t>গফুর মন্ডল</t>
  </si>
  <si>
    <t>০৯/১০/১৯৫৭</t>
  </si>
  <si>
    <t>মোছা: সেলিনা খাতুন</t>
  </si>
  <si>
    <t>মোঃ আব্দুল আজিজ</t>
  </si>
  <si>
    <t>মোছাঃ চিয়ারন খাতুন</t>
  </si>
  <si>
    <t>২০/০৬/১৯৮৭</t>
  </si>
  <si>
    <t>গৃহিনী</t>
  </si>
  <si>
    <t>মোছা: মনিরা খাতুন</t>
  </si>
  <si>
    <t>মোঃ ফয়জাল আলী</t>
  </si>
  <si>
    <t>মোছাঃ মর্শিদা খাতুন</t>
  </si>
  <si>
    <t>১০/০৬/১৯৮৭</t>
  </si>
  <si>
    <t>মোছা: রশিদা খাতুন</t>
  </si>
  <si>
    <t>মোঃ আব্দুর রশিদ</t>
  </si>
  <si>
    <t>মোছাঃ খালিচা খাতুন</t>
  </si>
  <si>
    <t>১৭/১০/১৯৮৭</t>
  </si>
  <si>
    <t>মোছা: শরিফা খাতুন</t>
  </si>
  <si>
    <t>পেনু শেখ</t>
  </si>
  <si>
    <t>মাতাঃ নয়াতন নেছা</t>
  </si>
  <si>
    <t>১৩/১০/১৯৬১</t>
  </si>
  <si>
    <t>মোছা: মালা বেগম</t>
  </si>
  <si>
    <t>মোঃ আব্দুল মজিদ</t>
  </si>
  <si>
    <t>১০/০৮/১৯৭২</t>
  </si>
  <si>
    <t>মোছা: জাহানারা বেগম</t>
  </si>
  <si>
    <t>ফয়জদ্দিন মুন্সি</t>
  </si>
  <si>
    <t>আরজি খাতুন</t>
  </si>
  <si>
    <t>০৫/১০/১৯২৭</t>
  </si>
  <si>
    <t>মোহাঃ আব্দুল আজিজ</t>
  </si>
  <si>
    <t>০২/১০/১৯৭৯</t>
  </si>
  <si>
    <t>মোছা: টলোজান নেছা</t>
  </si>
  <si>
    <t>কালু মন্ডল</t>
  </si>
  <si>
    <t>জলোদা খাতুন</t>
  </si>
  <si>
    <t>১০/০৯/১৯৩৭</t>
  </si>
  <si>
    <t>মোছা: হোসেনয়ারা খাতুন</t>
  </si>
  <si>
    <t>০৮/০৫/১৯৭৫</t>
  </si>
  <si>
    <t>মোছা: রেখা খাতুন</t>
  </si>
  <si>
    <t>মোঃ আব্দুর রহিম</t>
  </si>
  <si>
    <t>০৯/০৬/১৯৮০</t>
  </si>
  <si>
    <t>মোছা: বানুয়ারা খাতুন</t>
  </si>
  <si>
    <t>আতাহার মোল্লা</t>
  </si>
  <si>
    <t>মোছাঃ খুকি খাতুন</t>
  </si>
  <si>
    <t>০৯/০৬/১৯৬০</t>
  </si>
  <si>
    <t>মোছা: আবেদা খাতুন</t>
  </si>
  <si>
    <t>মোহাঃ আব্দুল কুদ্দুস</t>
  </si>
  <si>
    <t>০৯/০৭/১৯৭৫</t>
  </si>
  <si>
    <t>মোছা: রাশেদা খাতুন</t>
  </si>
  <si>
    <t>ছলেমান শেখ</t>
  </si>
  <si>
    <t>মোছাঃ আরবিয়া খাতুন</t>
  </si>
  <si>
    <t>১০/১০/১৯৭১</t>
  </si>
  <si>
    <t>মোছা: জাহেদা খাতুন</t>
  </si>
  <si>
    <t>মোঃ ওসমান আলী</t>
  </si>
  <si>
    <t>মোছাঃ রাফিজা খাতুন</t>
  </si>
  <si>
    <t>০৫/০২/১৯৮০</t>
  </si>
  <si>
    <t>মাইগ্রেট হয়েছে</t>
  </si>
  <si>
    <t>মোছা: লতিফন নেছা</t>
  </si>
  <si>
    <t>কমর আলী</t>
  </si>
  <si>
    <t>মোছাঃ হাওয়াজান খাতুন</t>
  </si>
  <si>
    <t>১০/০৮/১৯৬২</t>
  </si>
  <si>
    <t>মোছা: ফাহিমা খাতুন</t>
  </si>
  <si>
    <t>মোহাঃ খেজমত আহম্মেদ</t>
  </si>
  <si>
    <t>মোছাঃ খাদেজা খাতুন</t>
  </si>
  <si>
    <t>০৫/০৬/১৯৭৫</t>
  </si>
  <si>
    <t>মোছা: নিমিজান নেছা</t>
  </si>
  <si>
    <t>গয়েচতুল্লাহ</t>
  </si>
  <si>
    <t>মাতাঃ জহিরন খাতুন</t>
  </si>
  <si>
    <t>১৫/০২/১৯৪৭</t>
  </si>
  <si>
    <t>মোহাঃ ফয়েজ আলি</t>
  </si>
  <si>
    <t>মোছাঃ খায়রন নেছা</t>
  </si>
  <si>
    <t>০৫/০৬/১৯৮৬</t>
  </si>
  <si>
    <t>মোছা: ওছিমা খাতুন</t>
  </si>
  <si>
    <t>সুবহান আলি</t>
  </si>
  <si>
    <t>সকিনা খাতুন</t>
  </si>
  <si>
    <t>০৫/০৭/১৯৪২</t>
  </si>
  <si>
    <t>মোছা: খাতেমা খাতুন</t>
  </si>
  <si>
    <t>মোজাহার আলি</t>
  </si>
  <si>
    <t>মোছাঃ রজবালা খাতুন</t>
  </si>
  <si>
    <t>০২/০৮/১৯৪৭</t>
  </si>
  <si>
    <t>মোছা: হাজেরা খাতুন</t>
  </si>
  <si>
    <t>মোহাঃ হাসেম আলী</t>
  </si>
  <si>
    <t>মোছাঃ ফরিদা খাতুন</t>
  </si>
  <si>
    <t>২৫/০৬/১৯৮৪</t>
  </si>
  <si>
    <t>মোছা: আত্তাফন নেছা</t>
  </si>
  <si>
    <t>হারুন অর রশিদ</t>
  </si>
  <si>
    <t>মোছাঃ খাতেমা খাতুন</t>
  </si>
  <si>
    <t>০৭/০৫/১৯৮২</t>
  </si>
  <si>
    <t>মোছা: হীরা খাতুন</t>
  </si>
  <si>
    <t>পিতাঃ মোহাঃ নাসিরুদ্দিন শেখ</t>
  </si>
  <si>
    <t>মাতাঃ হালিমা খাতুন</t>
  </si>
  <si>
    <t>১৭/০৫/১৯৮৮</t>
  </si>
  <si>
    <t>মোছা: হাসেনা খাতুন</t>
  </si>
  <si>
    <t>আকবর বিশ্বাস</t>
  </si>
  <si>
    <t>জাহেদা খাতুন</t>
  </si>
  <si>
    <t>০৫/১০/১৯৫৭</t>
  </si>
  <si>
    <t>মোছা: রাফিজা খাতুন</t>
  </si>
  <si>
    <t>আহাদ আলী</t>
  </si>
  <si>
    <t>২১/১১/১৯৭৭</t>
  </si>
  <si>
    <t>মোছা: খাদিজা খাতুন</t>
  </si>
  <si>
    <t>আব্দুল খালেক</t>
  </si>
  <si>
    <t>মোছাঃ ফুলজান বেগম</t>
  </si>
  <si>
    <t>০২/০৬/১৯৬৫</t>
  </si>
  <si>
    <t>মোছা: ডলিওয়ারা খাতুন</t>
  </si>
  <si>
    <t>মোহাঃ দবির উদ্দিন</t>
  </si>
  <si>
    <t>মোছাঃ জয়নব বেগম</t>
  </si>
  <si>
    <t>১১/০৯/১৯৮৫</t>
  </si>
  <si>
    <t>মোছা: হানুয়ারা খাতুন</t>
  </si>
  <si>
    <t>মোছাঃ জাফিয়া খাতুন</t>
  </si>
  <si>
    <t>০৫/১০/১৯৮৫</t>
  </si>
  <si>
    <t>মোছা: কুরছিয়া খাতুন</t>
  </si>
  <si>
    <t>মোহাঃ তাহাজ উদ্দিন</t>
  </si>
  <si>
    <t>ফাতেমা খাতুন</t>
  </si>
  <si>
    <t>০৭/০৮/১৯৭৭</t>
  </si>
  <si>
    <t>মোছা: সুফিয়া খাতুন</t>
  </si>
  <si>
    <t>মোহাঃ জলিল মালিখা</t>
  </si>
  <si>
    <t>মোছাঃ ফুলজান খাতুন</t>
  </si>
  <si>
    <t>০৫/০৭/১৯৭১</t>
  </si>
  <si>
    <t>মোহাঃ খবিরন্দ মন্ডল</t>
  </si>
  <si>
    <t>মোছাঃ পুরাতন খাতুন</t>
  </si>
  <si>
    <t>১৭/১০/১৯৬৭</t>
  </si>
  <si>
    <t>মোছা: জহিরন খাতুন</t>
  </si>
  <si>
    <t>এলাহী বক্স</t>
  </si>
  <si>
    <t>রাহাতন খাতুন</t>
  </si>
  <si>
    <t>০৯/১০/১৯৪২</t>
  </si>
  <si>
    <t>মোছা: ফাতেমা খাতুন</t>
  </si>
  <si>
    <t>নুরুল ইসলাম</t>
  </si>
  <si>
    <t>শাহানারা বেগম</t>
  </si>
  <si>
    <t>২১/১০/১৯৮১</t>
  </si>
  <si>
    <t>ছাত্র/ছাত্রী</t>
  </si>
  <si>
    <t>মোছা: জহুরা খাতুন</t>
  </si>
  <si>
    <t>মোহাঃ আব্দুর রশিদ</t>
  </si>
  <si>
    <t>রুপিয়া খাতুন</t>
  </si>
  <si>
    <t>২৫/০৫/১৯৬৯</t>
  </si>
  <si>
    <t>মোছা: স্বাধীনা খাতুন</t>
  </si>
  <si>
    <t>কাদের আলী</t>
  </si>
  <si>
    <t>মোছাঃ রাহিমা খাতুন</t>
  </si>
  <si>
    <t>১৯/০৯/১৯৮৩</t>
  </si>
  <si>
    <t>মোছা: বুরু খাতুন</t>
  </si>
  <si>
    <t>মোহাঃ কেরামত মোল্লা</t>
  </si>
  <si>
    <t>০৫/১০/১৯৮১</t>
  </si>
  <si>
    <t>মোহাঃ আব্দুল খালেক</t>
  </si>
  <si>
    <t>২০/১২/১৯৮০</t>
  </si>
  <si>
    <t>মোছা: শ্যামলী খাতুন</t>
  </si>
  <si>
    <t>মোহাঃ চাঁদ আলী</t>
  </si>
  <si>
    <t>০৮/০৭/১৯৭৯</t>
  </si>
  <si>
    <t>মোছা: হাদিছা খাতুন</t>
  </si>
  <si>
    <t>তাহাজদ্দি মন্ডল</t>
  </si>
  <si>
    <t>মোছাঃ বিবিছন নেছা</t>
  </si>
  <si>
    <t>১৫/০৮/১৯৮১</t>
  </si>
  <si>
    <t>মোছা: কোহিনুর খাতুন</t>
  </si>
  <si>
    <t>ফকির মন্ডল</t>
  </si>
  <si>
    <t>মোছাঃ জাইরা খাতুন</t>
  </si>
  <si>
    <t>২১/১০/১৯৬৭</t>
  </si>
  <si>
    <t>মোছা: মেহেরবানু</t>
  </si>
  <si>
    <t>মোহাঃ জাহা বক্স</t>
  </si>
  <si>
    <t>১০/১২/১৯৭১</t>
  </si>
  <si>
    <t>মোছা: আম্মিয়া খাতুন</t>
  </si>
  <si>
    <t>জহির উদ্দিন মন্ডল</t>
  </si>
  <si>
    <t>জরিমণ নেছা</t>
  </si>
  <si>
    <t>০৮/১১/১৯৭৫</t>
  </si>
  <si>
    <t>মোছা: আছিয়া খাতুন</t>
  </si>
  <si>
    <t>রহমান শেখ</t>
  </si>
  <si>
    <t>নিহারন খাতুন</t>
  </si>
  <si>
    <t>০৭/১০/১৯৪২</t>
  </si>
  <si>
    <t>মোছা: মার্জিয়া খাতুন</t>
  </si>
  <si>
    <t>কাদের আলী মন্ডল</t>
  </si>
  <si>
    <t>১৫/০৭/১৯৪৫</t>
  </si>
  <si>
    <t>মোছা: ছালেহার খাতুন</t>
  </si>
  <si>
    <t>মোঃ আজিজুল মন্ডল</t>
  </si>
  <si>
    <t>রেজিয়া খাতুন</t>
  </si>
  <si>
    <t>০৫/১০/১৯৮০</t>
  </si>
  <si>
    <t>মোছা: শাহিনা খাতুন</t>
  </si>
  <si>
    <t>মোহাঃ একরামুল হক</t>
  </si>
  <si>
    <t>মোছাঃ সাহারবানু</t>
  </si>
  <si>
    <t>১০/০৫/১৯৮৭</t>
  </si>
  <si>
    <t>মোহাঃ হইরাদ্দি মন্ডল</t>
  </si>
  <si>
    <t>০২/০৩/১৯৫২</t>
  </si>
  <si>
    <t>মোছা: সাজেদা খাতুন</t>
  </si>
  <si>
    <t>মোহাঃ আব্দুল হাকিম</t>
  </si>
  <si>
    <t>১০/১২/১৯৭৯</t>
  </si>
  <si>
    <t>আইজদ্দি মন্ডল</t>
  </si>
  <si>
    <t>আমেনা খাতুন</t>
  </si>
  <si>
    <t>০৫/১০/১৯৭২</t>
  </si>
  <si>
    <t>মোছা: মিনিয়ারা খাতুন</t>
  </si>
  <si>
    <t>মহসিন মন্ডল</t>
  </si>
  <si>
    <t>মোছাঃ নুরী খাতুন</t>
  </si>
  <si>
    <t>০১/০৭/১৯৫৭</t>
  </si>
  <si>
    <t>মোছা: রোকসানা খাতুন</t>
  </si>
  <si>
    <t>মোহাঃ আব্দুর রহমান</t>
  </si>
  <si>
    <t>০১/১০/১৯৮৪</t>
  </si>
  <si>
    <t>মোঃ আব্দুল রাজ্জাক</t>
  </si>
  <si>
    <t>মোছাঃ ছকিনা খাতুন</t>
  </si>
  <si>
    <t>০২/০৪/১৯৮২</t>
  </si>
  <si>
    <t>মোছা: রাজিয়া খাতুন</t>
  </si>
  <si>
    <t>মোহাঃ তাহের বিশ্বাস</t>
  </si>
  <si>
    <t>মোছাঃ মেহেরনিগার</t>
  </si>
  <si>
    <t>১০/১১/১৯৮০</t>
  </si>
  <si>
    <t>মোছা: জামেনা খাতুন</t>
  </si>
  <si>
    <t>মোহাঃ আরজুল্লাহ শেখ</t>
  </si>
  <si>
    <t>মোছাঃ মদিনা খাতুন</t>
  </si>
  <si>
    <t>১৮/০৯/১৯৬৭</t>
  </si>
  <si>
    <t>মোছা: সোনাভান</t>
  </si>
  <si>
    <t>মোঃ তফেজউদ্দিন</t>
  </si>
  <si>
    <t>আনোয়ারা খাতুন</t>
  </si>
  <si>
    <t>১৮/১১/১৯৭৯</t>
  </si>
  <si>
    <t>মোছা: আয়েশা খাতুন</t>
  </si>
  <si>
    <t>মোহাঃ আবু মোসা</t>
  </si>
  <si>
    <t>২৫/০৪/১৯৮৪</t>
  </si>
  <si>
    <t>মোছা: নাদিরা খাতুন</t>
  </si>
  <si>
    <t>মোঃ দারজেল হোসেন</t>
  </si>
  <si>
    <t>মাতাঃ হাসিনা বেগম</t>
  </si>
  <si>
    <t>মোছা: রেজিয়া খাতুন</t>
  </si>
  <si>
    <t>মোজাহার মোল্লা</t>
  </si>
  <si>
    <t>২২/০৫/১৯৭৩</t>
  </si>
  <si>
    <t>মোছা: শাহানাজ খাতুন</t>
  </si>
  <si>
    <t>মোহাঃ কুদ্দুস আলী</t>
  </si>
  <si>
    <t>১২/১০/১৯৮৬</t>
  </si>
  <si>
    <t>মোছা: কাজলি খাতুন</t>
  </si>
  <si>
    <t>মোহাঃ খেজমত আলী</t>
  </si>
  <si>
    <t>২০/০২/১৯৮১</t>
  </si>
  <si>
    <t>মোছা: মজিরন খাতুন</t>
  </si>
  <si>
    <t>খইম মন্ডল</t>
  </si>
  <si>
    <t>ময়িজান খাতুন</t>
  </si>
  <si>
    <t>০৫/১০/১৯৫২</t>
  </si>
  <si>
    <t>মোছা: সাহেদা খাতুন</t>
  </si>
  <si>
    <t>মোহাঃ জমির উদ্দিন</t>
  </si>
  <si>
    <t>০৭/১০/১৯৬৮</t>
  </si>
  <si>
    <t>মোছা: রেহেনা খাতুন</t>
  </si>
  <si>
    <t>মোহাঃ মুক্তার হোসেন</t>
  </si>
  <si>
    <t>মোছাঃ শরিফা খাতুন</t>
  </si>
  <si>
    <t>১০/০৮/১৯৮৫</t>
  </si>
  <si>
    <t>মোছা: জাহানারা খাতুন</t>
  </si>
  <si>
    <t>মোছাঃ জরিমন খাতুন</t>
  </si>
  <si>
    <t>১০/১১/১৯৪৭</t>
  </si>
  <si>
    <t>মোছা: রেকমন খাতুন</t>
  </si>
  <si>
    <t>মোহাঃ মুনছার আলী</t>
  </si>
  <si>
    <t>মোছাঃ নেকজান খাতুন</t>
  </si>
  <si>
    <t>০৫/০৭/১৯৭৯</t>
  </si>
  <si>
    <t>মোছা: সাদেশ্বর খাতুন</t>
  </si>
  <si>
    <t>মোজাহার আলী</t>
  </si>
  <si>
    <t>আবেদা খাতুন</t>
  </si>
  <si>
    <t>০৯/১০/১৯৪৫</t>
  </si>
  <si>
    <t>মোছা: রসিদা খাতুন</t>
  </si>
  <si>
    <t>মোহাঃ আবুবক্কর</t>
  </si>
  <si>
    <t>১৫/০৯/১৯৮০</t>
  </si>
  <si>
    <t>মোছা: বাচেনা খাতুন</t>
  </si>
  <si>
    <t>মোহাঃ আজিত আলি</t>
  </si>
  <si>
    <t>১২/০২/১৯৬৮</t>
  </si>
  <si>
    <t>মোছা: রাহিমা খাতুন</t>
  </si>
  <si>
    <t>মোহাঃ আবুতালেব মন্ডল</t>
  </si>
  <si>
    <t>সামিয়া খাতুন</t>
  </si>
  <si>
    <t>১০/১১/১৯৫৭</t>
  </si>
  <si>
    <t>মোছা: রোজিনা খাতুন</t>
  </si>
  <si>
    <t>মোছাঃ মাজেদা খাতুন</t>
  </si>
  <si>
    <t>১০/১২/১৯৮৩</t>
  </si>
  <si>
    <t>মোছা: মাসেরা খাতুন</t>
  </si>
  <si>
    <t>মাইরুদ্দিন মন্ডল</t>
  </si>
  <si>
    <t>মোছাঃ রংবিবি</t>
  </si>
  <si>
    <t>০৭/০৮/১৯৭২</t>
  </si>
  <si>
    <t>মোছা: কল্পনা খাতুন</t>
  </si>
  <si>
    <t>মোহাম্মদ আলী</t>
  </si>
  <si>
    <t>মোছা: হাওয়া খাতুন</t>
  </si>
  <si>
    <t>পীর বক্স</t>
  </si>
  <si>
    <t>০২/১০/১৯৪৭</t>
  </si>
  <si>
    <t>মোহাঃ রইলদ্দিন মন্ডল</t>
  </si>
  <si>
    <t>মোছাঃ মালেকা খাতুন</t>
  </si>
  <si>
    <t>১৬/০৭/১৯৭৭</t>
  </si>
  <si>
    <t>মোছা: শিল্পী খাতুন</t>
  </si>
  <si>
    <t>মোহাঃ ছহিরদ্দিন আলী</t>
  </si>
  <si>
    <t>২১/০৯/১৯৮১</t>
  </si>
  <si>
    <t>মোছা: মেরিনা খাতুন</t>
  </si>
  <si>
    <t>মোহাঃ হারেজ উদ্দিন</t>
  </si>
  <si>
    <t>২২/০৮/১৯৮৭</t>
  </si>
  <si>
    <t>মোছা: হেনা খাতুন</t>
  </si>
  <si>
    <t>সৈয়দ আলী</t>
  </si>
  <si>
    <t>হালিমা খাতুন</t>
  </si>
  <si>
    <t>১০/১২/১৯৭৫</t>
  </si>
  <si>
    <t>মোছা: ইসমোতরা খাতুন</t>
  </si>
  <si>
    <t>মোঃ আব্দুল করিম</t>
  </si>
  <si>
    <t>মোছা: কহিনুর খাতুন</t>
  </si>
  <si>
    <t>মোঃ আক্কাস আলী</t>
  </si>
  <si>
    <t>১৭/০৫/১৯৭৭</t>
  </si>
  <si>
    <t>মোছা: কাবিরন খাতুন</t>
  </si>
  <si>
    <t>আব্দুল রহমান</t>
  </si>
  <si>
    <t>মোছাঃ নিমিজান খাতুন</t>
  </si>
  <si>
    <t>০৮/০৭/১৯৮১</t>
  </si>
  <si>
    <t>মোছা: ছকিনা খাতুন</t>
  </si>
  <si>
    <t>বানাত মন্ডল</t>
  </si>
  <si>
    <t>সাহরন খাতুন</t>
  </si>
  <si>
    <t>০৫/০৭/১৯৫৭</t>
  </si>
  <si>
    <t>মোছা: আমেনা খাতুন</t>
  </si>
  <si>
    <t>খুকিজান খাতুন</t>
  </si>
  <si>
    <t>০৩/০৪/১৯৫৫</t>
  </si>
  <si>
    <t>মোছা: জানজিরা খাতুন</t>
  </si>
  <si>
    <t>মংলা বকস</t>
  </si>
  <si>
    <t>০৫/০৮/১৯৬৭</t>
  </si>
  <si>
    <t>আবু বক্কর আলী</t>
  </si>
  <si>
    <t>২২/০৮/১৯৭৯</t>
  </si>
  <si>
    <t>মোছা: জামেরন খাতুন</t>
  </si>
  <si>
    <t>খেলাফত মন্ডল</t>
  </si>
  <si>
    <t>নিছারন খাতুন</t>
  </si>
  <si>
    <t>১২/১১/১৯৫৭</t>
  </si>
  <si>
    <t>মোহাঃ মনসুর আলী</t>
  </si>
  <si>
    <t>১৮/০৬/১৯৮২</t>
  </si>
  <si>
    <t>মোছা: আকলিমা খাতুন</t>
  </si>
  <si>
    <t>মোঃ আঃ মজিদ</t>
  </si>
  <si>
    <t>মোছাঃ ছপুরা খাতুন</t>
  </si>
  <si>
    <t>০৫/০৬/১৯৮১</t>
  </si>
  <si>
    <t>মোছা: কাজল রেখা</t>
  </si>
  <si>
    <t>মোহাঃ আব্দুল রহমান</t>
  </si>
  <si>
    <t>মোছাঃ মারজিয়া খাতুন</t>
  </si>
  <si>
    <t>০৫/০৬/১৯৭২</t>
  </si>
  <si>
    <t>মোছা: রোকেয়া খাতুন</t>
  </si>
  <si>
    <t>আজাহার মন্ডল</t>
  </si>
  <si>
    <t>হাসেনা খাতুন</t>
  </si>
  <si>
    <t>০৫/০৬/১৯৫৫</t>
  </si>
  <si>
    <t>মোছা: জুলেখা খাতুন</t>
  </si>
  <si>
    <t>শাহাদত শেখ</t>
  </si>
  <si>
    <t>মোছাঃ টলোজান নেছা</t>
  </si>
  <si>
    <t>১০/০৫/১৯৭৯</t>
  </si>
  <si>
    <t>মোছা: রাহেলা খাতুন</t>
  </si>
  <si>
    <t>ফদুং আলী</t>
  </si>
  <si>
    <t>বালু জান</t>
  </si>
  <si>
    <t>১০/০৫/১৯৪৭</t>
  </si>
  <si>
    <t>মোছা: মেহেরন নেছা</t>
  </si>
  <si>
    <t>বাহাদুর মন্ডল</t>
  </si>
  <si>
    <t>মোছাঃ রাকিমন খাতুন</t>
  </si>
  <si>
    <t>১২/০৮/১৯৮৪</t>
  </si>
  <si>
    <t>মোছা: আনজিরা খাতুন</t>
  </si>
  <si>
    <t>মোহাঃ নেকছার আলী</t>
  </si>
  <si>
    <t>মসলেম মন্ডল</t>
  </si>
  <si>
    <t>মানেজান খাতুন</t>
  </si>
  <si>
    <t>০৪/০৩/১৯৫৩</t>
  </si>
  <si>
    <t>মোছা: আরজিয়া খাতুন</t>
  </si>
  <si>
    <t>মোহাঃ মসলেম মন্ডল</t>
  </si>
  <si>
    <t>০৫/১০/১৯৬৭</t>
  </si>
  <si>
    <t>অন্যান্য</t>
  </si>
  <si>
    <t>মোছা: রাবেয়া খাতুন</t>
  </si>
  <si>
    <t>মোহাঃ ছলেমান মন্ডল</t>
  </si>
  <si>
    <t>মোছাঃ রাহেলা খাতুন</t>
  </si>
  <si>
    <t>১০/০৮/১৯৬৯</t>
  </si>
  <si>
    <t>মোছা: রেক্সনা খাতুন</t>
  </si>
  <si>
    <t>মোহাঃ আকরাম আলী</t>
  </si>
  <si>
    <t>১০/১২/১৯৮২</t>
  </si>
  <si>
    <t>মোছা: লাইলী খাতুন</t>
  </si>
  <si>
    <t>মোহাঃ ইউসুফ আলী</t>
  </si>
  <si>
    <t>০৫/১০/১৯৭৭</t>
  </si>
  <si>
    <t>মোছা: ফরিদা পারভীন</t>
  </si>
  <si>
    <t>হেফাজ ফরাজী</t>
  </si>
  <si>
    <t>১০/১১/১৯৭১</t>
  </si>
  <si>
    <t>মোছা: রিতা খাতুন</t>
  </si>
  <si>
    <t>মোহাঃ রবিউল ইসলাম</t>
  </si>
  <si>
    <t>১০/০৩/১৯৮৭</t>
  </si>
  <si>
    <t>মোছা: আয়া খাতুন</t>
  </si>
  <si>
    <t>১০/০৭/১৯৮৮</t>
  </si>
  <si>
    <t>মোঃ হাশেম আলী</t>
  </si>
  <si>
    <t>মোছাঃ সুবারন</t>
  </si>
  <si>
    <t>১১/০৩/১৯৭৮</t>
  </si>
  <si>
    <t>মোছা: চাইনা খাতুন</t>
  </si>
  <si>
    <t>শুকুর আলী</t>
  </si>
  <si>
    <t>১৪/০৯/১৯৬৯</t>
  </si>
  <si>
    <t>মোতালেব আলী</t>
  </si>
  <si>
    <t>১২/১০/১৯৪৪</t>
  </si>
  <si>
    <t>মোছা: বিলকিছ খাতুন</t>
  </si>
  <si>
    <t>মাসুদ আলী</t>
  </si>
  <si>
    <t>১৭/১০/১৯৭৯</t>
  </si>
  <si>
    <t>মোছা: গুলশানারা</t>
  </si>
  <si>
    <t>তাহাজ উদ্দিন</t>
  </si>
  <si>
    <t>মোছাঃ সপুরা খাতুন</t>
  </si>
  <si>
    <t>১৪/০৮/১৯৭১</t>
  </si>
  <si>
    <t>মোঃ বদর উদ্দিন</t>
  </si>
  <si>
    <t>১৯/০৭/১৯৮৭</t>
  </si>
  <si>
    <t>মোছা: মুর্শিদা খাতুন</t>
  </si>
  <si>
    <t>মোঃ আরজান আলী</t>
  </si>
  <si>
    <t>মোছাঃ রোকেয়া খাতুন</t>
  </si>
  <si>
    <t>১৭/০৯/১৯৭১</t>
  </si>
  <si>
    <t>মোছা: জাহানারা</t>
  </si>
  <si>
    <t>পিতাঃ আব্দুল করিম</t>
  </si>
  <si>
    <t>মোছাঃ কমালা খাতুন</t>
  </si>
  <si>
    <t>১৭/১০/১৯৭৩</t>
  </si>
  <si>
    <t>মোছা: আশাফল</t>
  </si>
  <si>
    <t>মোঃ আত্তাব আলী</t>
  </si>
  <si>
    <t>১৬/০৬/১৯৬৯</t>
  </si>
  <si>
    <t>মোছা: মল্লিকা খাতুন</t>
  </si>
  <si>
    <t>মোঃ মর্জেম আলী</t>
  </si>
  <si>
    <t>মোছাঃ লতিফন</t>
  </si>
  <si>
    <t>১৪/০৩/১৯৮০</t>
  </si>
  <si>
    <t>মোছা: নকলা খাতুন</t>
  </si>
  <si>
    <t>মোছাঃ আলেয়া</t>
  </si>
  <si>
    <t>২৩/০৩/১৯৪৭</t>
  </si>
  <si>
    <t>মোছা: বেলী খাতুন</t>
  </si>
  <si>
    <t>মোঃ আবু মুসা</t>
  </si>
  <si>
    <t>মোছাঃ মফিরন</t>
  </si>
  <si>
    <t>২৮/১০/১৯৬৯</t>
  </si>
  <si>
    <t>মোছা: শাহানারা বেগম</t>
  </si>
  <si>
    <t>মোঃ ছারহাক</t>
  </si>
  <si>
    <t>১৭/০১/১৯৬৭</t>
  </si>
  <si>
    <t>মোঃ হাফেজ উদ্দিন</t>
  </si>
  <si>
    <t>২০/১০/১৯৭৭</t>
  </si>
  <si>
    <t>রহমতুল্লা</t>
  </si>
  <si>
    <t>খাশজান</t>
  </si>
  <si>
    <t>১৪/০৭/১৯৫৭</t>
  </si>
  <si>
    <t>মোঃ কিতাব আলী</t>
  </si>
  <si>
    <t>মোছাঃ পাতারন নেছা</t>
  </si>
  <si>
    <t>১২/০৯/১৯৬৫</t>
  </si>
  <si>
    <t>মোছা: জহিরন নেছা</t>
  </si>
  <si>
    <t>মোঃ আমানত আলী</t>
  </si>
  <si>
    <t>মোছাঃ জালাতন</t>
  </si>
  <si>
    <t>১৯/০৮/১৯৬৭</t>
  </si>
  <si>
    <t>মোছা: মনোয়ারা</t>
  </si>
  <si>
    <t>মোঃ মসলেম মোল্লা</t>
  </si>
  <si>
    <t>মোছাঃ খবিরন নেছা</t>
  </si>
  <si>
    <t>১৭/১০/১৯৬৮</t>
  </si>
  <si>
    <t>মোছা: মাবিয়া খাতুন</t>
  </si>
  <si>
    <t>২০/০৭/১৯৮৭</t>
  </si>
  <si>
    <t>মোছা: ফেন্সী খাতুন</t>
  </si>
  <si>
    <t>মোঃ হাফেজ উদ্দীন</t>
  </si>
  <si>
    <t>১৯/০৮/১৯৮২</t>
  </si>
  <si>
    <t>মোছা: হাজেলা খাতুন</t>
  </si>
  <si>
    <t>ছিতাব মন্ডল</t>
  </si>
  <si>
    <t>সয়লা খাতুন</t>
  </si>
  <si>
    <t>১৩/১০/১৯৫০</t>
  </si>
  <si>
    <t>মোঃ আনছার আলী</t>
  </si>
  <si>
    <t>মোছাঃ আরজিনা</t>
  </si>
  <si>
    <t>১৯/০৪/১৯৭০</t>
  </si>
  <si>
    <t>মোঃ শুকুর আলী</t>
  </si>
  <si>
    <t>মোছাঃ জাহানারা</t>
  </si>
  <si>
    <t>২১/০৩/১৯৮৫</t>
  </si>
  <si>
    <t>মোছা: আরজিনা খাতুন</t>
  </si>
  <si>
    <t>সারা খাতুন</t>
  </si>
  <si>
    <t>১২/০৩/১৯৬২</t>
  </si>
  <si>
    <t>মোছা: হাবিব খাতুন</t>
  </si>
  <si>
    <t>মোহাঃ মসলেম উদ্দীন</t>
  </si>
  <si>
    <t>২৯/০৩/১৯৮১</t>
  </si>
  <si>
    <t>মোছা: বুলবুলি খাতুন</t>
  </si>
  <si>
    <t>মোঃ সামছুল হক</t>
  </si>
  <si>
    <t>মোছাঃ সোনাভান</t>
  </si>
  <si>
    <t>১৯/০৩/১৯৭৫</t>
  </si>
  <si>
    <t>মোছা: শিউলি খাতুন</t>
  </si>
  <si>
    <t>মোঃ বিল্লাল মন্ডল</t>
  </si>
  <si>
    <t>মোছাঃ চাইনা খাতুন</t>
  </si>
  <si>
    <t>২০/০২/১৯৮৬</t>
  </si>
  <si>
    <t>মোছা: খাইরুন নেছা</t>
  </si>
  <si>
    <t>মোছাঃ খাতুন</t>
  </si>
  <si>
    <t>১১/০২/১৯৬৭</t>
  </si>
  <si>
    <t>মোছা: ছুনুয়ারা</t>
  </si>
  <si>
    <t>মোঃ কছের আলী</t>
  </si>
  <si>
    <t>মোছাঃ সুফিয়া</t>
  </si>
  <si>
    <t>১৭/০৫/১৯৭৫</t>
  </si>
  <si>
    <t>মোছা: মাহিরন</t>
  </si>
  <si>
    <t>মোঃ আমীর আলী</t>
  </si>
  <si>
    <t>২০/০৩/১৯৬২</t>
  </si>
  <si>
    <t>মোঃ গণি শেখ</t>
  </si>
  <si>
    <t>১৭/০২/১৯৮৪</t>
  </si>
  <si>
    <t>মোছা: ঝুমারা খাতুন</t>
  </si>
  <si>
    <t>ইসমাইল</t>
  </si>
  <si>
    <t>মোছাঃ নিগরন</t>
  </si>
  <si>
    <t>২৩/০৫/১৯৭৭</t>
  </si>
  <si>
    <t>মোছা: নার্গিস আরা</t>
  </si>
  <si>
    <t>মোঃ ইদ্রিস আলী</t>
  </si>
  <si>
    <t>১৩/০৯/১৯৮০</t>
  </si>
  <si>
    <t>মোছা: শেফালী খাতুন</t>
  </si>
  <si>
    <t>মোঃ আকবর মন্ডল</t>
  </si>
  <si>
    <t>মোছাঃ হাবেহান নেছা</t>
  </si>
  <si>
    <t>১০/০৯/১৯৮০</t>
  </si>
  <si>
    <t>মোছা: মজিরন</t>
  </si>
  <si>
    <t>ইয়াজদ্দিন মন্ডল</t>
  </si>
  <si>
    <t>মলেজান</t>
  </si>
  <si>
    <t>২০/০৩/১৯৪৯</t>
  </si>
  <si>
    <t>মোছা: রওশনারা</t>
  </si>
  <si>
    <t>মোঃ ফজলুর রহমান</t>
  </si>
  <si>
    <t>মোছাঃ জুলেখা</t>
  </si>
  <si>
    <t>২৭/০৮/১৯৮০</t>
  </si>
  <si>
    <t>২৫/০৯/১৯৫৭</t>
  </si>
  <si>
    <t>মোছা: স্বাধীনা</t>
  </si>
  <si>
    <t>দুদাই বিশ্বাস</t>
  </si>
  <si>
    <t>মোছাঃ মুকছাদন</t>
  </si>
  <si>
    <t>২০/০৬/১৯৭১</t>
  </si>
  <si>
    <t>মোছা: নাহিদা পারভীন</t>
  </si>
  <si>
    <t>মোঃ মিনাকুল ইসলাম</t>
  </si>
  <si>
    <t>মোছাঃ শাহিনুর বেগম</t>
  </si>
  <si>
    <t>২৭/০৭/১৯৮৫</t>
  </si>
  <si>
    <t>মোঃ লোকমান আলী</t>
  </si>
  <si>
    <t>মোছাঃ আকিয়া খাতুন</t>
  </si>
  <si>
    <t>২৩/০২/১৯৮৯</t>
  </si>
  <si>
    <t>মোছা: মাকছুরা খাতুন</t>
  </si>
  <si>
    <t>রইচ উদ্দীন</t>
  </si>
  <si>
    <t>মোছাঃ কাঞ্চন নাহার</t>
  </si>
  <si>
    <t>মোছা: নাজিরা খাতুন</t>
  </si>
  <si>
    <t>ছেরি আলী মন্ডল</t>
  </si>
  <si>
    <t>মাহিরন নেছা</t>
  </si>
  <si>
    <t>১৮/০৫/১৯৭৯</t>
  </si>
  <si>
    <t>আব্দুস সোবহান</t>
  </si>
  <si>
    <t>মোছাঃ কাঞ্চন মালা</t>
  </si>
  <si>
    <t>২১/০৯/১৯৬৭</t>
  </si>
  <si>
    <t>মোঃ মজিবর রহমান</t>
  </si>
  <si>
    <t>মোছাঃ মেহের বানু</t>
  </si>
  <si>
    <t>২৯/০৯/১৯৭৩</t>
  </si>
  <si>
    <t>আসমতুল্লা</t>
  </si>
  <si>
    <t>মোছাঃ পরিষ্কার</t>
  </si>
  <si>
    <t>১৯/০৬/১৯৭৩</t>
  </si>
  <si>
    <t>মোছা: পারুলা খাতুন</t>
  </si>
  <si>
    <t>১৯/০৮/১৯৭৭</t>
  </si>
  <si>
    <t>মোছা: সহিদা খাতুন</t>
  </si>
  <si>
    <t>১৭/০৮/১৯৬৭</t>
  </si>
  <si>
    <t>মোছা: ছফুরা খাতুন</t>
  </si>
  <si>
    <t>মোছাঃ মমতাজ খাতুন</t>
  </si>
  <si>
    <t>১৯/০৩/১৯৮২</t>
  </si>
  <si>
    <t>মোছা: শিরিনা খাতুন</t>
  </si>
  <si>
    <t>মোছাঃ বেদানা</t>
  </si>
  <si>
    <t>১৩/০৭/১৯৭৫</t>
  </si>
  <si>
    <t>মোছা: আংগুরা খাতুন</t>
  </si>
  <si>
    <t>হের আলী</t>
  </si>
  <si>
    <t>মাহিষন</t>
  </si>
  <si>
    <t>১৩/০৩/১৯৬৭</t>
  </si>
  <si>
    <t>মোছা: রুমিরা খাতুন</t>
  </si>
  <si>
    <t>মোঃ নুহ আলম</t>
  </si>
  <si>
    <t>মোছাঃ রঙ্গিলা</t>
  </si>
  <si>
    <t>১৯/০২/১৯৮২</t>
  </si>
  <si>
    <t>১১/০৪/১৯৮৫</t>
  </si>
  <si>
    <t>মোছা: খোশজান</t>
  </si>
  <si>
    <t>মোছাঃ মাহিরন নেছা</t>
  </si>
  <si>
    <t>১২/১১/১৯৬২</t>
  </si>
  <si>
    <t>মোছা: সালমা পারভীন</t>
  </si>
  <si>
    <t>মোঃ মজিবুল ইসলাম</t>
  </si>
  <si>
    <t>মোছাঃ সুকিরন নেছা</t>
  </si>
  <si>
    <t>১৩/০২/১৯৬৯</t>
  </si>
  <si>
    <t>মোছা: সরলা খাতুন</t>
  </si>
  <si>
    <t>মোঃ আবু বকর</t>
  </si>
  <si>
    <t>মোছাঃ ছাহেরা খাতুন</t>
  </si>
  <si>
    <t>২৩/০৯/১৯৭৫</t>
  </si>
  <si>
    <t>মোছা: রোজিয়া খাতুন</t>
  </si>
  <si>
    <t>সামসুল</t>
  </si>
  <si>
    <t>মোছাঃ রোমেলা খাতুন</t>
  </si>
  <si>
    <t>২০/০৩/১৯৪৭</t>
  </si>
  <si>
    <t>মোঃ জমিরুদ্দিন</t>
  </si>
  <si>
    <t>২৩/১০/১৯৮৫</t>
  </si>
  <si>
    <t>মোঃ আলীমদ্দিন</t>
  </si>
  <si>
    <t>১৫/০৩/১৯৭৫</t>
  </si>
  <si>
    <t>মোছা: মাহফুজা খাতুন</t>
  </si>
  <si>
    <t>১৩/০৫/১৯৭৭</t>
  </si>
  <si>
    <t>মোছা: নিছারন নেছা</t>
  </si>
  <si>
    <t>মোঃ ইউনুছ আলী</t>
  </si>
  <si>
    <t>১৪/০৬/১৯৮১</t>
  </si>
  <si>
    <t>মোছা: মনোয়ারা খাতুন</t>
  </si>
  <si>
    <t>মোঃ গোলাম নবী</t>
  </si>
  <si>
    <t>মোছাঃ আলেয়া খাতুন</t>
  </si>
  <si>
    <t>১৭/১২/১৯৬৯</t>
  </si>
  <si>
    <t>মোছা: হালিমা খাতুন</t>
  </si>
  <si>
    <t>আবু তৈয়ব</t>
  </si>
  <si>
    <t>মরিয়ম নেছা</t>
  </si>
  <si>
    <t>১৭/০৭/১৯৪২</t>
  </si>
  <si>
    <t>২৭/০৭/১৯৭২</t>
  </si>
  <si>
    <t>মোছা: রাশিদা খাতুন</t>
  </si>
  <si>
    <t>মোহাঃ ছাকেম আলী</t>
  </si>
  <si>
    <t>মোছাঃ সেরপজান</t>
  </si>
  <si>
    <t>২৩/০৮/১৯৭১</t>
  </si>
  <si>
    <t>মোছা: শিউলী খাতুন</t>
  </si>
  <si>
    <t>মোছাঃ আবেজান</t>
  </si>
  <si>
    <t>২০/০৫/১৯৬৯</t>
  </si>
  <si>
    <t>করিমন নেছা</t>
  </si>
  <si>
    <t>২৫/০৫/১৯৩৭</t>
  </si>
  <si>
    <t>মোছা: আশরাফোন নেছা</t>
  </si>
  <si>
    <t>মোঃ লুৎফর রহমান</t>
  </si>
  <si>
    <t>মোছাঃ আশুরা খাতুন</t>
  </si>
  <si>
    <t>০৮/০৬/১৯৭৭</t>
  </si>
  <si>
    <t>মোছা: মমতাজ বেগম</t>
  </si>
  <si>
    <t>মোঃ আব্দুল গণি</t>
  </si>
  <si>
    <t>১০/০৩/১৯৮২</t>
  </si>
  <si>
    <t>মোঃ আঃ রাজ্জাক</t>
  </si>
  <si>
    <t>মোছাঃ সাবেরা খাতুন</t>
  </si>
  <si>
    <t>২০/০৩/১৯৮৭</t>
  </si>
  <si>
    <t>মোছা: হামিদা বেগম</t>
  </si>
  <si>
    <t>ছিদ্দিকা বেগম</t>
  </si>
  <si>
    <t>১৩/০৯/১৯৪৫</t>
  </si>
  <si>
    <t>রোকেয়া খাতুন</t>
  </si>
  <si>
    <t>১৭/০৬/১৯৭৭</t>
  </si>
  <si>
    <t>মোছা: তহমিনা খাতুন</t>
  </si>
  <si>
    <t>ভিকু মন্ডল</t>
  </si>
  <si>
    <t>২৬/১০/১৯৭৭</t>
  </si>
  <si>
    <t>মোছা: মহিলা খাতুন</t>
  </si>
  <si>
    <t>১০/০৬/১৯৫৯</t>
  </si>
  <si>
    <t>মোছা: নাসিরা খাতুন</t>
  </si>
  <si>
    <t>মোঃ তোফাজ্জেল হোসেন</t>
  </si>
  <si>
    <t>মোছাঃ জুলেখা খাতুন</t>
  </si>
  <si>
    <t>১৪/০৭/১৯৮২</t>
  </si>
  <si>
    <t>মোছা: নাজমা খাতুন</t>
  </si>
  <si>
    <t>মোঃ নজরুল ইসলাম</t>
  </si>
  <si>
    <t>মোছাঃ হাসিনা খাতুন</t>
  </si>
  <si>
    <t>১৭/১১/১৯৮৮</t>
  </si>
  <si>
    <t>মোছা: রুবিনা খাতুন</t>
  </si>
  <si>
    <t>মোঃ আবেদিন</t>
  </si>
  <si>
    <t>২৩/১০/১৯৭৫</t>
  </si>
  <si>
    <t>মোছা: ছবিয়ারা</t>
  </si>
  <si>
    <t>মোঃ আব্দুল কাদের</t>
  </si>
  <si>
    <t>মোছাঃ খইমন নেছা</t>
  </si>
  <si>
    <t>২৩/০৯/১৯৬৯</t>
  </si>
  <si>
    <t>মোছা: রমেলা খাতুন</t>
  </si>
  <si>
    <t>মোবার আলী</t>
  </si>
  <si>
    <t>নুরজাহান খাতুন</t>
  </si>
  <si>
    <t>০২/০৪/১৯৪৬</t>
  </si>
  <si>
    <t>মোহামাদ আলী</t>
  </si>
  <si>
    <t>মোছাঃ জামিরন নেছা</t>
  </si>
  <si>
    <t>১৯/০৮/১৯৫৭</t>
  </si>
  <si>
    <t>মোছা: পারভীনা খাতুন</t>
  </si>
  <si>
    <t>মোঃ কামাল উদ্দীন</t>
  </si>
  <si>
    <t>মোছাঃ লতা খাতুন</t>
  </si>
  <si>
    <t>২৮/০৩/১৯৮৫</t>
  </si>
  <si>
    <t>মোছা: নাসরীন আক্তার</t>
  </si>
  <si>
    <t>মোঃ কিয়ামত আলী</t>
  </si>
  <si>
    <t>মোছাঃ ছাকেদা খাতুন</t>
  </si>
  <si>
    <t>১৭/০৬/১৯৮৫</t>
  </si>
  <si>
    <t>মোঃ আজিতুল্লা</t>
  </si>
  <si>
    <t>মাতাঃ জামিরুন</t>
  </si>
  <si>
    <t>১৩/০২/১৯৫৭</t>
  </si>
  <si>
    <t>মোঃ জামাত আলী</t>
  </si>
  <si>
    <t>১২/০৭/১৯৬৬</t>
  </si>
  <si>
    <t>মোঃ বাহাজ আলী</t>
  </si>
  <si>
    <t>২৬/০৮/১৯৭১</t>
  </si>
  <si>
    <t>মোঃ কাতব আলী</t>
  </si>
  <si>
    <t>মোছাঃ জামেনা খাতুন</t>
  </si>
  <si>
    <t>১৩/১০/১৯৬৯</t>
  </si>
  <si>
    <t>মোছা: মেহেরুন্নেছা</t>
  </si>
  <si>
    <t>আজাহার আলী</t>
  </si>
  <si>
    <t>ইনসান আরা</t>
  </si>
  <si>
    <t>০৬/০৩/১৯৩৭</t>
  </si>
  <si>
    <t>মোঃ নজের আলী</t>
  </si>
  <si>
    <t>মোছাঃ মেহেরুন্নেছা</t>
  </si>
  <si>
    <t>১৪/১১/১৯৮৩</t>
  </si>
  <si>
    <t>মোঃ আব্দুল আলীম</t>
  </si>
  <si>
    <t>১৯/০৭/১৯৮১</t>
  </si>
  <si>
    <t>পিতাঃ হবিরর রহমান</t>
  </si>
  <si>
    <t>১৭/০৫/১৯৮১</t>
  </si>
  <si>
    <t>মোছাঃ রাজিয়া খাতুন</t>
  </si>
  <si>
    <t>মোছাঃ গোমেদা খাতুন</t>
  </si>
  <si>
    <t>১৩/০৬/১৯৮৭</t>
  </si>
  <si>
    <t>মোঃ গোলাম মোস্তফা</t>
  </si>
  <si>
    <t>আলিয়া খাতুন</t>
  </si>
  <si>
    <t>১৫/০৫/১৯৬৭</t>
  </si>
  <si>
    <t>মুশা আলী</t>
  </si>
  <si>
    <t>১৫/০৫/১৯৪২</t>
  </si>
  <si>
    <t>মোছাঃ রঞ্জনা খাতুন</t>
  </si>
  <si>
    <t>আঃ রহমান</t>
  </si>
  <si>
    <t>১০/০৫/১৯৬৫</t>
  </si>
  <si>
    <t>মোছাঃ রোকিয়া খাতুন</t>
  </si>
  <si>
    <t>আঃ মোতালেব</t>
  </si>
  <si>
    <t>১৮/০৮/১৯৬০</t>
  </si>
  <si>
    <t>মোছাঃ আংুরা খাতুন</t>
  </si>
  <si>
    <t>হারেড উদ্দীন</t>
  </si>
  <si>
    <t>মোছাঃ খতেজান</t>
  </si>
  <si>
    <t>১০/১০/১৯৭৭</t>
  </si>
  <si>
    <t>মোঃ মসলেম মন্ডল</t>
  </si>
  <si>
    <t>মোছাঃ আরিমর নেছা</t>
  </si>
  <si>
    <t>১২/০৬/১৯৭৬</t>
  </si>
  <si>
    <t>মোছাঃ মুন্তারা খাতুন</t>
  </si>
  <si>
    <t>মোছাঃ মুসিরন</t>
  </si>
  <si>
    <t>১০/০৫/১৯৮১</t>
  </si>
  <si>
    <t>মোছাঃ মুসিরন নেছা</t>
  </si>
  <si>
    <t>রুস্তম বিশ্বাস</t>
  </si>
  <si>
    <t>ভাদি নেছা</t>
  </si>
  <si>
    <t>১৫/০৫/১৯৩৭</t>
  </si>
  <si>
    <t>ইসমেতারা</t>
  </si>
  <si>
    <t>মোঃ চাইনদ্দীন</t>
  </si>
  <si>
    <t>২৫/০৬/১৯৮০</t>
  </si>
  <si>
    <t>শাহাদত</t>
  </si>
  <si>
    <t>গুলশানারা</t>
  </si>
  <si>
    <t>০১/০১/১৯৭০</t>
  </si>
  <si>
    <t>মোছাঃ জেসমিনা খাতুন</t>
  </si>
  <si>
    <t>মোঃ মতিয়ার</t>
  </si>
  <si>
    <t>০৯/০৩/১৯৮৯</t>
  </si>
  <si>
    <t>মোঃ মেহের আলী</t>
  </si>
  <si>
    <t>১৫/০২/১৯৮৩</t>
  </si>
  <si>
    <t>মোছাঃ নেইতন নেছা</t>
  </si>
  <si>
    <t>মোবারক বিশ্বাস</t>
  </si>
  <si>
    <t>নিগারন নেছা</t>
  </si>
  <si>
    <t>১০/০৪/১৯৪২</t>
  </si>
  <si>
    <t>মোছাঃ গেনিয়ারা খাতুন</t>
  </si>
  <si>
    <t>মোঃ আব্দুস ছিদ্দীক</t>
  </si>
  <si>
    <t>মোছাঃ এশিয়া খাতুন</t>
  </si>
  <si>
    <t>১০/০২/১৯৭৯</t>
  </si>
  <si>
    <t>সামছুদ্দিন</t>
  </si>
  <si>
    <t>মোছাঃ আফেলা খাতুন</t>
  </si>
  <si>
    <t>১৫/০৫/১৯৮৭</t>
  </si>
  <si>
    <t>মোছাঃ সাহারা খাতুন</t>
  </si>
  <si>
    <t>মোঃ তমসের আলী</t>
  </si>
  <si>
    <t>১০/১০/১৯৮৫</t>
  </si>
  <si>
    <t>মোঃ চাইন উদ্দীন</t>
  </si>
  <si>
    <t>রাহিমা খাতুন</t>
  </si>
  <si>
    <t>১৫/০২/১৯৮২</t>
  </si>
  <si>
    <t>আব্দুর কাদের</t>
  </si>
  <si>
    <t>মোছাঃ আজিরন নেছা</t>
  </si>
  <si>
    <t>১০/০৫/১৯৮৩</t>
  </si>
  <si>
    <t>মোছাঃ জান্নাতুল নেছা</t>
  </si>
  <si>
    <t>জফিরন নেছা</t>
  </si>
  <si>
    <t>মোছাঃ আরজিনা খাতুন</t>
  </si>
  <si>
    <t>মোঃ মহামদ আলী</t>
  </si>
  <si>
    <t>মোছাঃ সাহার ভানু</t>
  </si>
  <si>
    <t>১৫/০২/১৯৮৭</t>
  </si>
  <si>
    <t>মোছাঃ মলিফা খাতুন</t>
  </si>
  <si>
    <t>মোঃ আবু তাহের</t>
  </si>
  <si>
    <t>উলফাতন নেছা</t>
  </si>
  <si>
    <t>১০/০২/১৯৭২</t>
  </si>
  <si>
    <t>মোছাঃ রহিমন নেছা</t>
  </si>
  <si>
    <t>রুস্তম আলী</t>
  </si>
  <si>
    <t>তহিরোন</t>
  </si>
  <si>
    <t>১০/০৫/১৯৬২</t>
  </si>
  <si>
    <t>মোঃ কলম আলী</t>
  </si>
  <si>
    <t>মোছাঃ সুখজান</t>
  </si>
  <si>
    <t>১২/০২/১৯৮৯</t>
  </si>
  <si>
    <t>মোঃ নয়ন মন্ডল</t>
  </si>
  <si>
    <t>মোছাঃ মেহেরন খাতুন</t>
  </si>
  <si>
    <t>মোঃ আব্দুল</t>
  </si>
  <si>
    <t>১০/০২/১৯৭৭</t>
  </si>
  <si>
    <t>মোছাঃ ডলি খাতুন</t>
  </si>
  <si>
    <t>মোছাঃ রশিদা বেগম</t>
  </si>
  <si>
    <t>১০/০২/১৯৮৫</t>
  </si>
  <si>
    <t>কমেলা খাতুন</t>
  </si>
  <si>
    <t>১০/০৪/১৯৬৫</t>
  </si>
  <si>
    <t>মোছাঃ মুর্শিদা আক্তার</t>
  </si>
  <si>
    <t>মোছাঃ খদেজান খাতুন</t>
  </si>
  <si>
    <t>রইহুদ্দীন</t>
  </si>
  <si>
    <t>ফতেজান</t>
  </si>
  <si>
    <t>১২/০৪/১৯১৭</t>
  </si>
  <si>
    <t>মোছাঃ তসলিমা খাতুন</t>
  </si>
  <si>
    <t>কিয়ামদ্দীন মন্ডল</t>
  </si>
  <si>
    <t>ইারন নেছা</t>
  </si>
  <si>
    <t>১৫/০৫/১৯৪৭</t>
  </si>
  <si>
    <t>রমেশা খাতুন</t>
  </si>
  <si>
    <t>১৫/০২/১৯৫৯</t>
  </si>
  <si>
    <t>মোছাঃ সারেজান</t>
  </si>
  <si>
    <t>আঃ লতিব</t>
  </si>
  <si>
    <t>মোছাঃ ফেরাজান</t>
  </si>
  <si>
    <t>১৩/০৬/১৯৬৭</t>
  </si>
  <si>
    <t>মোছাঃ জেহমিনার</t>
  </si>
  <si>
    <t>মোঃ জমির উদ্দীন</t>
  </si>
  <si>
    <t>মোছাঃ কল্পনা খাতুন</t>
  </si>
  <si>
    <t>১৮/০৬/১৯৮৭</t>
  </si>
  <si>
    <t>মোঃ ফেরদৌস মালী</t>
  </si>
  <si>
    <t>কোহিনুর বেগম</t>
  </si>
  <si>
    <t>১০/০২/১৯৮৪</t>
  </si>
  <si>
    <t>ছেলমান সেখ</t>
  </si>
  <si>
    <t>০৫/১০/১৯৬৯</t>
  </si>
  <si>
    <t>সোওদ মন্ডল</t>
  </si>
  <si>
    <t>নেহারন খাতুন</t>
  </si>
  <si>
    <t>২০/১০/১৯৭২</t>
  </si>
  <si>
    <t>মোছাঃ সোনালী খাতুন</t>
  </si>
  <si>
    <t>মোছাঃ হামিদা খাতুন</t>
  </si>
  <si>
    <t>০৫/০৮/১৯৯০</t>
  </si>
  <si>
    <t>মোছাঃ সুবর্না খাতুন</t>
  </si>
  <si>
    <t>মোঃ আমজাদ হোসেন</t>
  </si>
  <si>
    <t>১০/০৫/১৯৯০</t>
  </si>
  <si>
    <t>মোছাঃ ছাবিনা ইয়াসমিন</t>
  </si>
  <si>
    <t>মোঃ মনিরদ্দিন আলী</t>
  </si>
  <si>
    <t>১০/০১/১৯৮২</t>
  </si>
  <si>
    <t>মোছাঃ জেসমিন খাতুন</t>
  </si>
  <si>
    <t>০৭/০২/১৯৯১</t>
  </si>
  <si>
    <t>মোছাঃ ফুলপরী খাতুন</t>
  </si>
  <si>
    <t>মোঃ আঃ রহমান</t>
  </si>
  <si>
    <t>১৫/০৮/১৯৯১</t>
  </si>
  <si>
    <t>মোছাঃ চম্পা খাতুন</t>
  </si>
  <si>
    <t>মোঃ মহিরুল ইসলাম</t>
  </si>
  <si>
    <t>১২/০৫/১৯৯০</t>
  </si>
  <si>
    <t>মোঃ আল আহাম্মাদ</t>
  </si>
  <si>
    <t>১০/০২/১৯৮৭</t>
  </si>
  <si>
    <t>মোছাঃ লাইলী খাতুন</t>
  </si>
  <si>
    <t>মোঃ শফিকুল ইসলাম</t>
  </si>
  <si>
    <t>মোছাঃ সামিরন নেছা</t>
  </si>
  <si>
    <t>২৫/০৫/১৯৯১</t>
  </si>
  <si>
    <t>মোছাঃ আসরা খাতুন</t>
  </si>
  <si>
    <t>আশকর আলী</t>
  </si>
  <si>
    <t>০৫/০২/১৯৮৮</t>
  </si>
  <si>
    <t>মোঃ দিদার বক্স</t>
  </si>
  <si>
    <t>মোছাঃ তোফিরোন খাতুন</t>
  </si>
  <si>
    <t>১০/১১/১৯৬৬</t>
  </si>
  <si>
    <t>মোছাঃ জেসমিন আক্তার রানী</t>
  </si>
  <si>
    <t>মোঃ হাবিবুর রহমান</t>
  </si>
  <si>
    <t>মোছাঃ রাশিয় খাতুন</t>
  </si>
  <si>
    <t>২৫/১২/১৯৯১</t>
  </si>
  <si>
    <t>মোছাঃ রূমী খাতুন</t>
  </si>
  <si>
    <t>মোঃ মোতালেব হোসেন</t>
  </si>
  <si>
    <t>মোছাঃ লাখী খাতুন</t>
  </si>
  <si>
    <t>২৫/০৬/১৯৯০</t>
  </si>
  <si>
    <t>মওলা বক্স মন্ডল</t>
  </si>
  <si>
    <t>০৫/০৪/১৯৬৮</t>
  </si>
  <si>
    <t>মোছাঃ সজিরন খাতুন</t>
  </si>
  <si>
    <t>ছের আলী</t>
  </si>
  <si>
    <t>মাহিরন</t>
  </si>
  <si>
    <t>মোঃ আঃ করিম</t>
  </si>
  <si>
    <t>১০/০২/১৯৯১</t>
  </si>
  <si>
    <t>মোছাঃ তাহারন নেছা</t>
  </si>
  <si>
    <t>রহিম বক্স</t>
  </si>
  <si>
    <t>খাদিজা</t>
  </si>
  <si>
    <t>১০/১২/১৩৩৭</t>
  </si>
  <si>
    <t>মোছাঃ আদরী খাতুন</t>
  </si>
  <si>
    <t>মোঃ ফেরদৌস আলী</t>
  </si>
  <si>
    <t>১০/০৫/১৯৯১</t>
  </si>
  <si>
    <t>মোছাঃ নারগিছ খাতুন</t>
  </si>
  <si>
    <t>মোঃ তাহাজ উদ্দীন</t>
  </si>
  <si>
    <t>মোছাঃ সাবিনা খাতুন</t>
  </si>
  <si>
    <t>০৫/০১/১৯৯১</t>
  </si>
  <si>
    <t>মোছাঃ মৌসুমী খাতুন</t>
  </si>
  <si>
    <t>মোঃ আমিরুল ইসলাম</t>
  </si>
  <si>
    <t>২০/০৭/১৯৯১</t>
  </si>
  <si>
    <t>মোছাঃ চামেলী খাতুন</t>
  </si>
  <si>
    <t>ফিরোজ আলী</t>
  </si>
  <si>
    <t>ফজিলা খাতুন</t>
  </si>
  <si>
    <t>০৮/১০/১৯৮৮</t>
  </si>
  <si>
    <t>মোছাঃ নুরজিয়া খাতুন</t>
  </si>
  <si>
    <t>মোছাঃ রশিদা খাতুন</t>
  </si>
  <si>
    <t>১১/০৮/১৯৯০</t>
  </si>
  <si>
    <t>মোঃ হেকমত আলী</t>
  </si>
  <si>
    <t>০৬/০৮/১৯৮৮</t>
  </si>
  <si>
    <t>মোছাঃ ছামিনা খাতুন</t>
  </si>
  <si>
    <t>রূপচাঁদ</t>
  </si>
  <si>
    <t>নুর বক্স মন্ডল</t>
  </si>
  <si>
    <t>০৫/১০/১৯৫৯</t>
  </si>
  <si>
    <t>মোছাঃ আঞ্জলী খাতুন</t>
  </si>
  <si>
    <t>মোঃ নাজির</t>
  </si>
  <si>
    <t>মোছাঃ আনজিলা খাতুন</t>
  </si>
  <si>
    <t>রহমান আলী</t>
  </si>
  <si>
    <t>হেলেজান খাতুন</t>
  </si>
  <si>
    <t>০৬/০৪/১৯৪০</t>
  </si>
  <si>
    <t>মহিষাখোলা, ধানখোলা, গাংনী, মেহেরপুর</t>
  </si>
  <si>
    <t>মোঃ মইনউদ্দীন</t>
  </si>
  <si>
    <t>১০/০৪/১৯৬৬</t>
  </si>
  <si>
    <t>মোছাঃ নাজমুন নাহার</t>
  </si>
  <si>
    <t>মোঃ নুরুল হক</t>
  </si>
  <si>
    <t>মোছাঃ নাছিমা বেগম</t>
  </si>
  <si>
    <t>১০/১২/১৯৯০</t>
  </si>
  <si>
    <t>মোছাঃ ডালিয়া খাতুন</t>
  </si>
  <si>
    <t>মোঃ বিল্লাল হোসেন</t>
  </si>
  <si>
    <t>১৯/০৬/১৯৯০</t>
  </si>
  <si>
    <t>মোছাঃ জহিরন খাতুন</t>
  </si>
  <si>
    <t>১০/০৬/১৯৬৫</t>
  </si>
  <si>
    <t>মোছাঃ মেহের আলী</t>
  </si>
  <si>
    <t>০৬/০৭/১৯৯১</t>
  </si>
  <si>
    <t>মোঃ দেলোরদ্দীন</t>
  </si>
  <si>
    <t>মোছাঃ জোহরা খাতুন</t>
  </si>
  <si>
    <t>২০/০১/১৯৯১</t>
  </si>
  <si>
    <t>মোছাঃ বিউটি খাতুন</t>
  </si>
  <si>
    <t>মোঃ রাহাজ আলী</t>
  </si>
  <si>
    <t>১০/১০/১৯৯১</t>
  </si>
  <si>
    <t>মোছাঃ রোজিফা খাতুন</t>
  </si>
  <si>
    <t>মোছাঃ খোদেজা খাতুন</t>
  </si>
  <si>
    <t>০৫/০৫/১৯৮৬</t>
  </si>
  <si>
    <t>মোছাঃ সালমা জাহান লাবনী</t>
  </si>
  <si>
    <t>মোঃ আবুল কালাম আজাদ</t>
  </si>
  <si>
    <t>মোছাঃ নারগিছ আক্তার</t>
  </si>
  <si>
    <t>৩১/০৩/১৯৯০</t>
  </si>
  <si>
    <t>মোছাঃ সুমি খাতুন</t>
  </si>
  <si>
    <t>মোঃ বাবুল হোসেন শাহ</t>
  </si>
  <si>
    <t>১০/০৩/১৯৯১</t>
  </si>
  <si>
    <t>মোছাঃ কাজলী খাতুন</t>
  </si>
  <si>
    <t>মোঃ আকরাম আলী</t>
  </si>
  <si>
    <t>মোছাঃ আশানুর</t>
  </si>
  <si>
    <t>০১/০৫/১৯৯১</t>
  </si>
  <si>
    <t>মোছাঃ চুমকি খাতুন</t>
  </si>
  <si>
    <t>মোঃ হাফিজুল ইসলাম</t>
  </si>
  <si>
    <t>মোছাঃ শিল্পী খাতুন</t>
  </si>
  <si>
    <t>০৮/০১/১৯৯০</t>
  </si>
  <si>
    <t>মোছাঃ ছাবিনা খাতুন</t>
  </si>
  <si>
    <t>মোঃ ওয়াছেল আলী</t>
  </si>
  <si>
    <t>১০/১০/১৯৮৯</t>
  </si>
  <si>
    <t>মোছাঃ শায়লা শারমিন</t>
  </si>
  <si>
    <t>১৩/০৪/১৯৯১</t>
  </si>
  <si>
    <t>মোঃ আঃ সালাম</t>
  </si>
  <si>
    <t>মোছাঃ কুলসুম খাতুন</t>
  </si>
  <si>
    <t>০৫/০৫/১৯৯১</t>
  </si>
  <si>
    <t>মোছাঃ সুন্দরী খাতুন</t>
  </si>
  <si>
    <t>খেদ আলী</t>
  </si>
  <si>
    <t>মোছাঃ ঠেকারী খাতুন</t>
  </si>
  <si>
    <t>০৩/০২/১৯৬২</t>
  </si>
  <si>
    <t>আত্তলিয়া খাতুন</t>
  </si>
  <si>
    <t>২৫/১০/১৯৭৭</t>
  </si>
  <si>
    <t>মোছাঃ পারভীনা খাতুন</t>
  </si>
  <si>
    <t>দাউদ আলী</t>
  </si>
  <si>
    <t>শ্রীমতি সন্ধ্যারানী</t>
  </si>
  <si>
    <t>শ্রীমতি নিরাপদ দাস</t>
  </si>
  <si>
    <t>লক্ষি দাসী</t>
  </si>
  <si>
    <t>০৭/০৬/১৯৭৮</t>
  </si>
  <si>
    <t>মোছাঃ সাজেদা বেগম</t>
  </si>
  <si>
    <t>মোঃ আবছার মন্ডল</t>
  </si>
  <si>
    <t>কমলা খাতুন</t>
  </si>
  <si>
    <t>বেসরকারী চাকুরী</t>
  </si>
  <si>
    <t>রেহানা খাতুন</t>
  </si>
  <si>
    <t>মোঃ আঃ কাদের</t>
  </si>
  <si>
    <t>হাসিনা বেগম</t>
  </si>
  <si>
    <t>০৩/০৭/১৯৬৭</t>
  </si>
  <si>
    <t>মোছাঃ পিংকি খাতুন</t>
  </si>
  <si>
    <t>মোঃ পাইন হোসেন</t>
  </si>
  <si>
    <t>মোছাঃ শাবানা খাতুন</t>
  </si>
  <si>
    <t>০১/০৫/১৯৯২</t>
  </si>
  <si>
    <t>মোছাঃ লাভলী খাতুন</t>
  </si>
  <si>
    <t>মোঃ দৌয়াত আলী</t>
  </si>
  <si>
    <t>০৬/০২/১৯৯২</t>
  </si>
  <si>
    <t>মোছাঃ শ্যামলী খাতুন</t>
  </si>
  <si>
    <t>হাফিজুল ইসলাম</t>
  </si>
  <si>
    <t>নাজমা খাতুন</t>
  </si>
  <si>
    <t>২৫/০৪/১৯৯২</t>
  </si>
  <si>
    <t>মজিবুল</t>
  </si>
  <si>
    <t>আরিফা খাতুন</t>
  </si>
  <si>
    <t>২৫/০২/১৯৯২</t>
  </si>
  <si>
    <t>মোছাঃ সীমা খাতুন</t>
  </si>
  <si>
    <t>১৫/১০/১৯৯২</t>
  </si>
  <si>
    <t>মোছাঃ বন্যা খাতুন</t>
  </si>
  <si>
    <t>মোঃ ছাদ্দাম হোসেন</t>
  </si>
  <si>
    <t>মোছাঃ হাওয়া জান</t>
  </si>
  <si>
    <t>০১/০৩/১৯৯২</t>
  </si>
  <si>
    <t>মোঃ আনারুল ইসলাম</t>
  </si>
  <si>
    <t>মোছাঃ সপিয়া</t>
  </si>
  <si>
    <t>০৩/০৫/১৯৯২</t>
  </si>
  <si>
    <t>কনিকা খাতুন</t>
  </si>
  <si>
    <t>আমিরুল ইসলাম</t>
  </si>
  <si>
    <t>মুন্তারা বেগম</t>
  </si>
  <si>
    <t>০৮/০৫/১৯৯২</t>
  </si>
  <si>
    <t>মোছাঃ ছনিয়া খাতুন</t>
  </si>
  <si>
    <t>মোছাঃ কিতাব আলী</t>
  </si>
  <si>
    <t>মোছাঃ নাছিমা খাতুন</t>
  </si>
  <si>
    <t>২৫/০৫/১৯৯২</t>
  </si>
  <si>
    <t>মোছাঃ সুমিতা খাতুন</t>
  </si>
  <si>
    <t>মোঃ হামিদুল ইসলাম</t>
  </si>
  <si>
    <t>নাজেরা খাতুন</t>
  </si>
  <si>
    <t>০৪/০৫/১৯৯৩</t>
  </si>
  <si>
    <t>মোছাঃ সুকজান খাতুন</t>
  </si>
  <si>
    <t>মোঃ আঃ জলিল শেখ</t>
  </si>
  <si>
    <t>০২/০৩/১৯৯৩</t>
  </si>
  <si>
    <t>উম্মে কুলসুম</t>
  </si>
  <si>
    <t>মোঃ আলী ওমর বিশ্বাস</t>
  </si>
  <si>
    <t>২০/১২/১৯৯৩</t>
  </si>
  <si>
    <t>মোছাঃ শাহানাজ</t>
  </si>
  <si>
    <t>১৮/০৪/১৯৯৩</t>
  </si>
  <si>
    <t>মোঃ শওকত আলী</t>
  </si>
  <si>
    <t>পারুলা খাতুন</t>
  </si>
  <si>
    <t>২০/০৬/১৯৯৩</t>
  </si>
  <si>
    <t>মোছাঃ সোহানা খাতুন</t>
  </si>
  <si>
    <t>মোঃ ইসলাম মন্ডল</t>
  </si>
  <si>
    <t>মোঃ মোবারক হোসেন</t>
  </si>
  <si>
    <t>মোছাঃ আবিয়া খাতুন</t>
  </si>
  <si>
    <t>২৮/১০/১৯৯৩</t>
  </si>
  <si>
    <t>মোছাঃ শিলা খাতুন</t>
  </si>
  <si>
    <t>মোঃ মহির উদ্দীন</t>
  </si>
  <si>
    <t>মোছাঃ মুনজিরা খাতুন</t>
  </si>
  <si>
    <t>১০/০৪/১৯৯৪</t>
  </si>
  <si>
    <t>মোছাঃ রুনা খাতুন</t>
  </si>
  <si>
    <t>মোঃ আঃ হাম্নান</t>
  </si>
  <si>
    <t>মোছাঃ ইসমতারা</t>
  </si>
  <si>
    <t>০১/০৩/১৯৯৪</t>
  </si>
  <si>
    <t>মোছাঃ বিপাশা খাতুন</t>
  </si>
  <si>
    <t>মোঃ ফারুক হোসেন</t>
  </si>
  <si>
    <t>মোছাঃ মরিয়ম নেছা</t>
  </si>
  <si>
    <t>০১/০২/১৯৯৪</t>
  </si>
  <si>
    <t>মোছাঃ লিমা খাতুন</t>
  </si>
  <si>
    <t>মোঃ ছানোয়ার হোসেন</t>
  </si>
  <si>
    <t>মোছাঃ সামসুন্নাহার খাতুন</t>
  </si>
  <si>
    <t>১২/০৬/১৯৯৪</t>
  </si>
  <si>
    <t>মোঃ আব্দুল হাম্নান</t>
  </si>
  <si>
    <t>০৮/০৮/১৯৯৪</t>
  </si>
  <si>
    <t>মোছাঃ মৌসুমী আক্তার</t>
  </si>
  <si>
    <t>মোঃ আশরাফুল হক</t>
  </si>
  <si>
    <t>৩০/১২/১৯৯৪</t>
  </si>
  <si>
    <t>মোঃ দাউদ হোসেন</t>
  </si>
  <si>
    <t>১০/০১/১৯৯৪</t>
  </si>
  <si>
    <t>নামঃ চামেলী খাতুন</t>
  </si>
  <si>
    <t>১০/০৫/১৯৯৩</t>
  </si>
  <si>
    <t>বিথীয়ারা</t>
  </si>
  <si>
    <t>মোঃ শরিফুদিন</t>
  </si>
  <si>
    <t>১৯/০৯/১৯৯৪</t>
  </si>
  <si>
    <t>মোছাঃ জুলিয়া খাতুন</t>
  </si>
  <si>
    <t>মোঃ মহির উদ্দিন</t>
  </si>
  <si>
    <t>০৫/১২/১৯৯৫</t>
  </si>
  <si>
    <t>খেদের বকস</t>
  </si>
  <si>
    <t>০৮/০২/১৯৯২</t>
  </si>
  <si>
    <t>ধানখোলা, মহিষাখোলা, গাংনী, মেহেরপুর</t>
  </si>
  <si>
    <t>মোঃ আসাদুল হক</t>
  </si>
  <si>
    <t>মোছাঃ নিহারন নেছা</t>
  </si>
  <si>
    <t>২০/০৭/১৯৯৫</t>
  </si>
  <si>
    <t>মোঃ জমসেদ আলী</t>
  </si>
  <si>
    <t>০৩/১১/১৯৮৯</t>
  </si>
  <si>
    <t>মোছাঃ জিন্নাহার</t>
  </si>
  <si>
    <t>মোঃ আবুল খালেক</t>
  </si>
  <si>
    <t>মোছাঃ আফরোজা খাতুন</t>
  </si>
  <si>
    <t>২৪/০৮/১৯৯৫</t>
  </si>
  <si>
    <t>মোঃ আবুল হাসান</t>
  </si>
  <si>
    <t>মোছাঃ সাবুরা খাতুন</t>
  </si>
  <si>
    <t>৩০/০৬/১৯৯৬</t>
  </si>
  <si>
    <t>মোছাঃ তুতিয়া আক্তার কনা</t>
  </si>
  <si>
    <t>মোঃ আত্তাব হোসেন</t>
  </si>
  <si>
    <t>০৫/০২/১৯৯৬</t>
  </si>
  <si>
    <t>মোছাঃ সবিতা খাতুন</t>
  </si>
  <si>
    <t>মোছাঃ খেড়ি খাতুন</t>
  </si>
  <si>
    <t>০৫/০৪/১৯৯৬</t>
  </si>
  <si>
    <t>রানী খাতুন</t>
  </si>
  <si>
    <t>মোঃ শাহাজান</t>
  </si>
  <si>
    <t>মোছাঃ রুমিয়া খাতুন</t>
  </si>
  <si>
    <t>১০/১০/১৯৯৬</t>
  </si>
  <si>
    <t>আসমা খাতুন</t>
  </si>
  <si>
    <t>আঃ রশিদ</t>
  </si>
  <si>
    <t>হামেদা খাতুন</t>
  </si>
  <si>
    <t>০৭/১১/১৯৯৬</t>
  </si>
  <si>
    <t>মোছাঃ খাদিজা খাতুন</t>
  </si>
  <si>
    <t>মোঃ আশরাফুল আলম</t>
  </si>
  <si>
    <t>মোছাঃ মহর বানু</t>
  </si>
  <si>
    <t>০৫/০৩/১৯৯৬</t>
  </si>
  <si>
    <t>মোছাঃ হাসমারা খাতুন</t>
  </si>
  <si>
    <t>মোঃ হাশেম আলি</t>
  </si>
  <si>
    <t>মোছাঃ নাজেরা খাতুন</t>
  </si>
  <si>
    <t>০৫/০৭/১৯৯৫</t>
  </si>
  <si>
    <t>মোছাঃ চাঁদনী খাতুন</t>
  </si>
  <si>
    <t>০৫/০৩/১৯৮৫</t>
  </si>
  <si>
    <t>গার্মেন্টস শ্রমিক</t>
  </si>
  <si>
    <t>মোছাঃ তামান্না খাতুন</t>
  </si>
  <si>
    <t>মোঃ তহিদুল ইসলাম</t>
  </si>
  <si>
    <t>০৮/০৯/১৯৯৪</t>
  </si>
  <si>
    <t>মোছাঃ লাবনী খাতুন</t>
  </si>
  <si>
    <t>মোঃ আব্দুল লতিফ</t>
  </si>
  <si>
    <t>১৫/০৭/১৯৯৫</t>
  </si>
  <si>
    <t>মোছাঃ রেক্সনা খাতুন</t>
  </si>
  <si>
    <t>মোঃ জসীমউদ্দিন</t>
  </si>
  <si>
    <t>০৫/০৩/১৯৯২</t>
  </si>
  <si>
    <t>মোছাঃ মিতা খাতুন</t>
  </si>
  <si>
    <t>মোঃ আফতাব উদ্দিন</t>
  </si>
  <si>
    <t>১১/০৭/১৯৯৪</t>
  </si>
  <si>
    <t>মোছাঃ সোনিয়া খাতুন</t>
  </si>
  <si>
    <t>মোঃ জামিরুল ইসলাম</t>
  </si>
  <si>
    <t>১০/০৩/১৯৯৪</t>
  </si>
  <si>
    <t>বৃষ্টি খাতুন</t>
  </si>
  <si>
    <t>মোঃ নিয়ামত আলি</t>
  </si>
  <si>
    <t>মোছাঃ রোকেয়া</t>
  </si>
  <si>
    <t>২৬/০৯/১৯৯৫</t>
  </si>
  <si>
    <t>মোছাঃ মুক্তিনা খাতুন</t>
  </si>
  <si>
    <t>মোঃ জালাল উদ্দিন</t>
  </si>
  <si>
    <t>২৫/০৬/১৯৯১</t>
  </si>
  <si>
    <t>মোছাঃ খুরশিদা খাতুন</t>
  </si>
  <si>
    <t>মোঃ আব্দুল খলিল</t>
  </si>
  <si>
    <t>০১/০৬/১৯৯৭</t>
  </si>
  <si>
    <t>মোছাঃ তানজিরা ইসলাম</t>
  </si>
  <si>
    <t>মোঃ আবুল বাসার</t>
  </si>
  <si>
    <t>১৮/০৬/১৯৯৪</t>
  </si>
  <si>
    <t>বিপাশা খাতুন</t>
  </si>
  <si>
    <t>বদর উদ্দিন</t>
  </si>
  <si>
    <t>ইসমত আরা</t>
  </si>
  <si>
    <t>২০/০৯/১৯৯৭</t>
  </si>
  <si>
    <t>মোঃ নাসির উদ্দিন</t>
  </si>
  <si>
    <t>২০/০৬/১৯৯২</t>
  </si>
  <si>
    <t>মোছাঃ শিউলী খাতুন</t>
  </si>
  <si>
    <t>মোঃ মনিরুল</t>
  </si>
  <si>
    <t>০৯/০৮/১৯৯৭</t>
  </si>
  <si>
    <t>মোছাঃ ফারহানা ইয়াসমিন</t>
  </si>
  <si>
    <t>মোঃ অরগিন আলি</t>
  </si>
  <si>
    <t>০৭/১১/১৯৯৫</t>
  </si>
  <si>
    <t>মোঃ বাবুল হোসেন</t>
  </si>
  <si>
    <t>১১/১১/১৯৯৭</t>
  </si>
  <si>
    <t>শেফালী খাতুন</t>
  </si>
  <si>
    <t>আবু তাহের</t>
  </si>
  <si>
    <t>আনিজিরা খাতুন</t>
  </si>
  <si>
    <t>০৫/০৫/১৯৯৬</t>
  </si>
  <si>
    <t>সেলিনা মমতাজ পপি</t>
  </si>
  <si>
    <t>মোঃ বরকত আলী</t>
  </si>
  <si>
    <t>০১/০২/১৯৯৬</t>
  </si>
  <si>
    <t>মোঃ নুর হক</t>
  </si>
  <si>
    <t>১৩/০৪/১৯৯০</t>
  </si>
  <si>
    <t>মোছাঃ কুলছুম খাতুন</t>
  </si>
  <si>
    <t>মোঃ আব্দুল ওহাব</t>
  </si>
  <si>
    <t>মোছাঃ আক্তার বানু</t>
  </si>
  <si>
    <t>১৫/১২/১৯৯৪</t>
  </si>
  <si>
    <t>মোছাঃ মুন্নি খাতুন</t>
  </si>
  <si>
    <t>মোছাঃ নিলুফা ইয়াছমিন</t>
  </si>
  <si>
    <t>২০/১০/১৯৯৫</t>
  </si>
  <si>
    <t>মোছাঃ বৃষ্টি খাতুন</t>
  </si>
  <si>
    <t>মোঃ জাকিরুল ইসলাম</t>
  </si>
  <si>
    <t>১২/০২/১৯৯৭</t>
  </si>
  <si>
    <t>-, মহিষাখোলা, গাংনী, মেহেরপুর</t>
  </si>
  <si>
    <t>মোছাঃ শিউলী আক্তার</t>
  </si>
  <si>
    <t>মোঃ বাহার আলী</t>
  </si>
  <si>
    <t>মোছাঃ জাহানারা বেগম</t>
  </si>
  <si>
    <t>০৭/০৮/১৯৯৭</t>
  </si>
  <si>
    <t>মোছাঃ বিথিয়ারা খাতুন</t>
  </si>
  <si>
    <t>০২/০৫/১৯৯৪</t>
  </si>
  <si>
    <t>মোছাঃ শিখা খাতুন</t>
  </si>
  <si>
    <t>মোঃ হাসান আলী</t>
  </si>
  <si>
    <t>২৫/০৮/১৯৯৬</t>
  </si>
  <si>
    <t>মোছাঃ প্রিয়া খাতুন</t>
  </si>
  <si>
    <t>মোঃ ওহিদুল ইসলাম</t>
  </si>
  <si>
    <t>মোছাঃ ফেরদৌসি খাতুন</t>
  </si>
  <si>
    <t>১৩/০১/১৯৯৭</t>
  </si>
  <si>
    <t>মোছাঃ রুপালী খাতুন</t>
  </si>
  <si>
    <t>মোঃ নুহ মিয়া</t>
  </si>
  <si>
    <t>মোছাঃ জাবেদা খাতুন</t>
  </si>
  <si>
    <t>০৬/০৪/১৯৯২</t>
  </si>
  <si>
    <t>মোছাঃ শাবনাজ খাতুন</t>
  </si>
  <si>
    <t>মোঃ খুরমান</t>
  </si>
  <si>
    <t>মোছাঃ আছমা খাতুন</t>
  </si>
  <si>
    <t>০১/১২/১৯৯৬</t>
  </si>
  <si>
    <t>মোছাঃ মুক্তা পিয়া</t>
  </si>
  <si>
    <t>মোঃ আঃ মোতালেব</t>
  </si>
  <si>
    <t>মোছাঃ নার্গিস বেগম</t>
  </si>
  <si>
    <t>১২/০৫/১৯৯৬</t>
  </si>
  <si>
    <t>মোঃ আওয়াল মন্ডল</t>
  </si>
  <si>
    <t>০৫/০২/১৯৮৪</t>
  </si>
  <si>
    <t>মোঃ জহির উদ্দিন</t>
  </si>
  <si>
    <t>মোছাঃ শান্তনা খাতুন</t>
  </si>
  <si>
    <t>মুন্তরা খাতুন</t>
  </si>
  <si>
    <t>২৬/০২/১৯৯৫</t>
  </si>
  <si>
    <t>মোছাঃ তৃষ্ণা খাতুন</t>
  </si>
  <si>
    <t>মোঃ ইদ্রীস আলী</t>
  </si>
  <si>
    <t>মোছাঃ ছারাফন নেছা</t>
  </si>
  <si>
    <t>১০/০১/১৯৯৫</t>
  </si>
  <si>
    <t>মোছাঃ শিল্পি আরা</t>
  </si>
  <si>
    <t>মোঃ তৈয়ব আলি</t>
  </si>
  <si>
    <t>১৫/১০/১৯৯৫</t>
  </si>
  <si>
    <t>মোছাঃ চায়না খাতুন</t>
  </si>
  <si>
    <t>মোঃ আব্দুল মান্নান</t>
  </si>
  <si>
    <t>০৫/০৪/১৯৯১</t>
  </si>
  <si>
    <t>মোঃ পিনজিরা খাতুন</t>
  </si>
  <si>
    <t>১৬/১১/১৯৯০</t>
  </si>
  <si>
    <t>মোঃ ইয়ারুল ইসলাম</t>
  </si>
  <si>
    <t>নাহিদা খাতুন</t>
  </si>
  <si>
    <t>মোঃ নিয়াত আলী</t>
  </si>
  <si>
    <t>০৭/০১/১৯৯৮</t>
  </si>
  <si>
    <t>মোঃ তানজিলা খাতুন</t>
  </si>
  <si>
    <t>মোঃ আমানুল ইসলাম</t>
  </si>
  <si>
    <t>১১/১২/১৯৯৮</t>
  </si>
  <si>
    <t>মোঃ সাইফুল ইসলাম</t>
  </si>
  <si>
    <t>মোছাঃ পলিয়ার</t>
  </si>
  <si>
    <t>১৭/০৯/১৯৯৮</t>
  </si>
  <si>
    <t>অন্তরা খাতুন</t>
  </si>
  <si>
    <t>আব্দুর সাত্তার</t>
  </si>
  <si>
    <t>রশিদা বেগম</t>
  </si>
  <si>
    <t>০২/০৮/১৯৯৮</t>
  </si>
  <si>
    <t>কানিজ ফারহানা বৈশাখী</t>
  </si>
  <si>
    <t>মৃত নুরুল ইসলাম</t>
  </si>
  <si>
    <t>মোছাঃ মালা খাতুন</t>
  </si>
  <si>
    <t>১০/১০/১৯৯৭</t>
  </si>
  <si>
    <t>মোঃ দৌরাত আলী</t>
  </si>
  <si>
    <t>২০/০৬/১৯৯৮</t>
  </si>
  <si>
    <t>মোঃ আবু সাত্তার</t>
  </si>
  <si>
    <t>মোছাঃ আশানারা</t>
  </si>
  <si>
    <t>০১/১১/১৯৯৯</t>
  </si>
  <si>
    <t>রুমানা খাতুন</t>
  </si>
  <si>
    <t>১২/০৩/১৯৯৯</t>
  </si>
  <si>
    <t>মোছাঃ রেজমিনা খাতুন</t>
  </si>
  <si>
    <t>মোঃ একরাম আলি</t>
  </si>
  <si>
    <t>মোছাঃ মুক্তা খাতুন</t>
  </si>
  <si>
    <t>০৫/০৯/১৯৯৯</t>
  </si>
  <si>
    <t>মোছাঃ কাকলী খাতুন</t>
  </si>
  <si>
    <t>মোঃ মজিদ আলী</t>
  </si>
  <si>
    <t>মোছাঃ ফাতিমা খাতুন</t>
  </si>
  <si>
    <t>০১/০৩/১৯৯৯</t>
  </si>
  <si>
    <t>কানিজ ফাতেমা কনা</t>
  </si>
  <si>
    <t>আবুল কালাম আজাদ</t>
  </si>
  <si>
    <t>আশরাফন নেছা</t>
  </si>
  <si>
    <t>০৯/০৮/১৯৯৯</t>
  </si>
  <si>
    <t>আনছার আলী</t>
  </si>
  <si>
    <t>কোলসন</t>
  </si>
  <si>
    <t>মাঝের পাড়া, মহিষাখোলা, গাংনী, মেহেরপুর</t>
  </si>
  <si>
    <t>মোছাঃ স্বপ্না খাতুন</t>
  </si>
  <si>
    <t>মোঃ ঠান্ডু আলী</t>
  </si>
  <si>
    <t>২৪/১০/১৯৯৫</t>
  </si>
  <si>
    <t>মৃত আফতাফ</t>
  </si>
  <si>
    <t>২৬/০৬/১৯৯১</t>
  </si>
  <si>
    <t>উত্তরপাড়া, মহিষাখোলা, গাংনী, মেহেরপুর</t>
  </si>
  <si>
    <t>২৫/০৯/১৯৯৬</t>
  </si>
  <si>
    <t>স্কুল পাড়া, মহিষাখোলা, গাংনী, মেহেরপুর</t>
  </si>
  <si>
    <t>মোঃ মিমদার আলী</t>
  </si>
  <si>
    <t>ফুলজান নেছা</t>
  </si>
  <si>
    <t>মহিষাখোলা ইদগাপাড়া, মহিষাখোলা, গাংনী, মেহেরপুর</t>
  </si>
  <si>
    <t>মোঃ হবিবার</t>
  </si>
  <si>
    <t>১৩/০৩/১৯৯৫</t>
  </si>
  <si>
    <t>দক্ষিন পাড়া, মহিষাখোলা, গাংনী, মেহেরপুর</t>
  </si>
  <si>
    <t>আশরাফুল হক</t>
  </si>
  <si>
    <t>ছালেহার</t>
  </si>
  <si>
    <t>০৪/০২/১৯৯৫</t>
  </si>
  <si>
    <t>মোঃ দবির উদ্দীন</t>
  </si>
  <si>
    <t>মোছাঃ হীরা খাতুন</t>
  </si>
  <si>
    <t>০৭/০২/১৯৯৭</t>
  </si>
  <si>
    <t>আব্দুল করিম</t>
  </si>
  <si>
    <t>ফাতেমা</t>
  </si>
  <si>
    <t>০৬/০৮/১৯৮৯</t>
  </si>
  <si>
    <t>মোছাঃ অন্তরা খাতুন</t>
  </si>
  <si>
    <t>মোঃ আঃ রহিম</t>
  </si>
  <si>
    <t>মোছাঃ বিলকিস আরা</t>
  </si>
  <si>
    <t>১৫/০২/১৯৯৬</t>
  </si>
  <si>
    <t>মোছাঃ জলি খাতুন</t>
  </si>
  <si>
    <t>মোছাঃ অরিদা বেগম</t>
  </si>
  <si>
    <t>১২/১০/১৯৯৯</t>
  </si>
  <si>
    <t>দক্ষিনপাড়া, মহিষাখোলা, গাংনী, মেহেরপুর</t>
  </si>
  <si>
    <t>মোছাঃ ফাইরুজ সাবিহা শান্তা</t>
  </si>
  <si>
    <t>মোঃ জহুরুল ইসলাম</t>
  </si>
  <si>
    <t>মোছাঃ নার্গিস খাতুন</t>
  </si>
  <si>
    <t>১৫/০১/২০০১</t>
  </si>
  <si>
    <t>ইয়াসমিন আক্তার বৃষ্টি</t>
  </si>
  <si>
    <t>মোছাঃ ইনারুল ইসলাম</t>
  </si>
  <si>
    <t>ছানুয়ারা খাতুন</t>
  </si>
  <si>
    <t>১০/০৩/২০০৩</t>
  </si>
  <si>
    <t>মোছাঃ শ্যামলী</t>
  </si>
  <si>
    <t>মোঃ বাখের</t>
  </si>
  <si>
    <t>০৫/০৭/১৯৯৭</t>
  </si>
  <si>
    <t>জেসমিন আরা</t>
  </si>
  <si>
    <t>মোঃ জালাল উদ্দীন</t>
  </si>
  <si>
    <t>শামসুন্নাহার</t>
  </si>
  <si>
    <t>০৮/০৫/২০০০</t>
  </si>
  <si>
    <t>মোছাঃ শাহনাজ</t>
  </si>
  <si>
    <t>মোঃ মুনছুর আলী</t>
  </si>
  <si>
    <t>মোছাঃ শাহেরা বেগম</t>
  </si>
  <si>
    <t>জিনিয়া ফেরদৌস রিম্পা</t>
  </si>
  <si>
    <t>মোঃ রইকুল ইসলাম</t>
  </si>
  <si>
    <t>মোছাঃ হোসনেয়ারা বেগম</t>
  </si>
  <si>
    <t>মোছাঃ হাসনা বেগম</t>
  </si>
  <si>
    <t>মোঃ হারুন অর রশিদ</t>
  </si>
  <si>
    <t>জহুরা</t>
  </si>
  <si>
    <t>মোঃ সিদ্দীক</t>
  </si>
  <si>
    <t>১০/০২/১৯৯৯</t>
  </si>
  <si>
    <t>সুরাইয়া খাতুন</t>
  </si>
  <si>
    <t>তজিনা খাতুন</t>
  </si>
  <si>
    <t>০৭/০৫/২০০২</t>
  </si>
  <si>
    <t>২২/১০/২০০১</t>
  </si>
  <si>
    <t>মোছাঃ রিমা খাতুন</t>
  </si>
  <si>
    <t>মোঃ মোস্তফা</t>
  </si>
  <si>
    <t>২০/০৪/২০০১</t>
  </si>
  <si>
    <t>মোছাঃ পপি খাতুন</t>
  </si>
  <si>
    <t>মোঃ রবজেল আলী</t>
  </si>
  <si>
    <t>১১/১০/২০০৩</t>
  </si>
  <si>
    <t>সিরাজুম মুনিরা রিংকী</t>
  </si>
  <si>
    <t>মোছাঃ হোসনেয়ারা খাতুন</t>
  </si>
  <si>
    <t>০৪/০২/২০০২</t>
  </si>
  <si>
    <t>মোছাঃ রুমানা আক্তার</t>
  </si>
  <si>
    <t>মোঃ জব্বার আলী</t>
  </si>
  <si>
    <t>১৫/১১/১৯৯৩</t>
  </si>
  <si>
    <t>জালাল হোসেন</t>
  </si>
  <si>
    <t>রহিমা খাতুন</t>
  </si>
  <si>
    <t>২৫/০৬/১৯৯৯</t>
  </si>
  <si>
    <t>মোছাঃ স্বর্ণালী খাতুন</t>
  </si>
  <si>
    <t>মোঃ শহিদুল ইসলাম</t>
  </si>
  <si>
    <t>১০/০৫/১৯৯৭</t>
  </si>
  <si>
    <t>মোঃ কাদের আলি</t>
  </si>
  <si>
    <t>১৫/০১/১৯৯৩</t>
  </si>
  <si>
    <t>মোছাঃ স্বজনী আক্তার</t>
  </si>
  <si>
    <t>মোঃ শরিফুল ইসলাম</t>
  </si>
  <si>
    <t>মোছাঃ শাহিদা খাতুন</t>
  </si>
  <si>
    <t>১২/০৯/১৯৯৮</t>
  </si>
  <si>
    <t>মেহেনাজ পারভীন</t>
  </si>
  <si>
    <t>মোবারক হোসেন</t>
  </si>
  <si>
    <t>আম্বিয়া খাতুন</t>
  </si>
  <si>
    <t>১৮/০৬/১৯৯৯</t>
  </si>
  <si>
    <t>মোছাঃ উর্মি খাতুন</t>
  </si>
  <si>
    <t>মোঃ আকবার আলী</t>
  </si>
  <si>
    <t>০৭/০৬/২০০০</t>
  </si>
  <si>
    <t>মোছাঃ শামীমা আক্তার</t>
  </si>
  <si>
    <t>আঃ হাম্নান</t>
  </si>
  <si>
    <t>আসুরা</t>
  </si>
  <si>
    <t>০৫/০৮/২০০২</t>
  </si>
  <si>
    <t>মোছাঃ বিথীয়ারা ডালিম</t>
  </si>
  <si>
    <t>মোছাঃ মোস্তফা আলী</t>
  </si>
  <si>
    <t>মোছাঃ হেনা খাতুন</t>
  </si>
  <si>
    <t>০৭/০৬/২০০১</t>
  </si>
  <si>
    <t>মোছাঃ শম্পা খাতুন</t>
  </si>
  <si>
    <t>মোছাঃ খাদেজা</t>
  </si>
  <si>
    <t>০১/০২/২০০৩</t>
  </si>
  <si>
    <t>০২/০৮/২০০৩</t>
  </si>
  <si>
    <t>মোছাঃ রূপছানা খাতুন</t>
  </si>
  <si>
    <t>০১/০৫/২০০৩</t>
  </si>
  <si>
    <t>মৃত ছলিমদ্দীন</t>
  </si>
  <si>
    <t>ছা ছেরা খাতুন</t>
  </si>
  <si>
    <t>০১/০৯/২০০০</t>
  </si>
  <si>
    <t>মোছাঃ সুরভী খাতুন</t>
  </si>
  <si>
    <t>মোঃ শাহিদুল ইসলাম</t>
  </si>
  <si>
    <t>২০/১০/২০০০</t>
  </si>
  <si>
    <t>মোছাঃ নিপা খাতুন</t>
  </si>
  <si>
    <t>মোঃ বাবলু সেখ</t>
  </si>
  <si>
    <t>১৬/০৩/২০০১</t>
  </si>
  <si>
    <t>সিমা খাতুন</t>
  </si>
  <si>
    <t>আঃ করিম</t>
  </si>
  <si>
    <t>০১/০৮/২০০০</t>
  </si>
  <si>
    <t>রাজ্জাক আলী</t>
  </si>
  <si>
    <t>০৪/০৪/২০০১</t>
  </si>
  <si>
    <t>মোছাঃ রিয়া খাতুন</t>
  </si>
  <si>
    <t>১৩/০৮/১৯৯৯</t>
  </si>
  <si>
    <t>সাথী খাতুন</t>
  </si>
  <si>
    <t>মোছাঃ সইফুল ইসলাম</t>
  </si>
  <si>
    <t>রেক্সসোনা খাতুন</t>
  </si>
  <si>
    <t>১০/০৫/২০০৩</t>
  </si>
  <si>
    <t>আসমাউল হুসনা পূর্নিমা</t>
  </si>
  <si>
    <t>মোঃ বদর উদ্দীন</t>
  </si>
  <si>
    <t>ইসমোতারা</t>
  </si>
  <si>
    <t>০৭/০৫/২০০৩</t>
  </si>
  <si>
    <t>মোছাঃ তৌহিদা আক্তার রেসমী</t>
  </si>
  <si>
    <t>মোঃ ইমান আলী</t>
  </si>
  <si>
    <t>২৮/১২/২০০৩</t>
  </si>
  <si>
    <t>মোঃ আশাদুল ইসলাম</t>
  </si>
  <si>
    <t>মোছাঃ রোকছোনা খাতুন</t>
  </si>
  <si>
    <t>১১/০৪/২০০২</t>
  </si>
  <si>
    <t>জান্নাতুল ফেরদৌস</t>
  </si>
  <si>
    <t>মোঃ আমিরুদ্দীন</t>
  </si>
  <si>
    <t>মরিয়ম খাতুন</t>
  </si>
  <si>
    <t>১৮/০১/২০০১</t>
  </si>
  <si>
    <t>মোছাঃ মিমি খাতুন</t>
  </si>
  <si>
    <t>মোঃ আসান আলী</t>
  </si>
  <si>
    <t>১২/০৬/২০০০</t>
  </si>
  <si>
    <t>মোঃ মনিরুল ইসলাম</t>
  </si>
  <si>
    <t>আশরাফন</t>
  </si>
  <si>
    <t>০৬/০৮/১৯৯৬</t>
  </si>
  <si>
    <t>মোঃ রাজ্জাক আলী</t>
  </si>
  <si>
    <t>মোছাঃ মানছুরা খাতুন</t>
  </si>
  <si>
    <t>৩০/০৮/১৯৯৪</t>
  </si>
  <si>
    <t>মোছাঃ জিন্নাতারা খাতুন</t>
  </si>
  <si>
    <t>মোঃ জিয়াউর রহমান</t>
  </si>
  <si>
    <t>মোছাঃ ইমিছা খাতুন</t>
  </si>
  <si>
    <t>১৫/০২/২০০৩</t>
  </si>
  <si>
    <t>তাসলিমা খাতুন</t>
  </si>
  <si>
    <t>মোছাঃ সৃজন খাতুন</t>
  </si>
  <si>
    <t>০২/০৩/২০০৩</t>
  </si>
  <si>
    <t>মোঃ আনিছ খা</t>
  </si>
  <si>
    <t>মোছাঃ শিরিনা খাতুন</t>
  </si>
  <si>
    <t>০১/০১/২০০৪</t>
  </si>
  <si>
    <t>মোছাঃ মারিয়া খাতুন</t>
  </si>
  <si>
    <t>নিয়ামত</t>
  </si>
  <si>
    <t>ফিরোজা</t>
  </si>
  <si>
    <t>০৬/১২/২০০৩</t>
  </si>
  <si>
    <t>শিরিনা খাতুন</t>
  </si>
  <si>
    <t>মমতাজ আলী</t>
  </si>
  <si>
    <t>ইসমতারা</t>
  </si>
  <si>
    <t>১৩/০৩/২০০২</t>
  </si>
  <si>
    <t>লাবনী খাতুন</t>
  </si>
  <si>
    <t>মোঃ রাশিদুল ইসলাম লাল্টু</t>
  </si>
  <si>
    <t>কল্পনা</t>
  </si>
  <si>
    <t>৩০/১২/২০০১</t>
  </si>
  <si>
    <t>সিনথিয়া জান্নাত বিলিক বৃষ্টি</t>
  </si>
  <si>
    <t>সোহেল রেজা মিঠু</t>
  </si>
  <si>
    <t>দিলারা পারভীন</t>
  </si>
  <si>
    <t>১৬/০৭/২০০১</t>
  </si>
  <si>
    <t>খলিলুর রহমান</t>
  </si>
  <si>
    <t>শরিফা খাতুন</t>
  </si>
  <si>
    <t>০৪/১০/২০০০</t>
  </si>
  <si>
    <t>মোঃ রাফিদুল ইসলাম</t>
  </si>
  <si>
    <t>২৮/০২/২০০১</t>
  </si>
  <si>
    <t>মোছাঃ তানিয়া খাতুন</t>
  </si>
  <si>
    <t>মোঃ মোস্তফা আলী</t>
  </si>
  <si>
    <t>মোছাঃ রাসিদা খাতুন</t>
  </si>
  <si>
    <t>০৫/০৪/১৯৯৯</t>
  </si>
  <si>
    <t>মোছাঃ শাবনুর খাতুন</t>
  </si>
  <si>
    <t>মোঃ ছবদেল হক</t>
  </si>
  <si>
    <t>১০/০৭/১৯৯৬</t>
  </si>
  <si>
    <t>সুমি</t>
  </si>
  <si>
    <t>ইছারুদ্দীন</t>
  </si>
  <si>
    <t>০৪/০৯/২০০১</t>
  </si>
  <si>
    <t>মোঃ আলম শেখ</t>
  </si>
  <si>
    <t>০৩/১০/১৯৯৫</t>
  </si>
  <si>
    <t>মহিষাখোলা, মহিষাখোলা, গাংনী, মেহেরপুর</t>
  </si>
  <si>
    <t>মোছাঃ রওশন আরা</t>
  </si>
  <si>
    <t>মৃত তুষ্ট শেখ</t>
  </si>
  <si>
    <t>মৃত নুরজাহান</t>
  </si>
  <si>
    <t>১৫/১২/১৯৭৬</t>
  </si>
  <si>
    <t>মোছাঃ তাপিয়া সুলতানা</t>
  </si>
  <si>
    <t>মোঃ রিয়াজুদ্দিন</t>
  </si>
  <si>
    <t>মোছাঃ মাছুরা খাতুন</t>
  </si>
  <si>
    <t>২৩/১০/১৯৯৩</t>
  </si>
  <si>
    <t>মোঃ রুহুল আমিন</t>
  </si>
  <si>
    <t>মোছাঃ আনার কলি</t>
  </si>
  <si>
    <t>১৮/০৫/২০০৪</t>
  </si>
  <si>
    <t>মোছাঃ তারিনা</t>
  </si>
  <si>
    <t>০৫/০১/২০০৪</t>
  </si>
  <si>
    <t>স্বর্ণালী খাতুন</t>
  </si>
  <si>
    <t>শফিকুল ইসলাম</t>
  </si>
  <si>
    <t>রোজিনা খাতুন</t>
  </si>
  <si>
    <t>২১/০৭/২০০৪</t>
  </si>
  <si>
    <t>১৯৫, মহিষাখোলা, গাংনী, মেহেরপুর</t>
  </si>
  <si>
    <t>শাইলা খাতুন</t>
  </si>
  <si>
    <t>মোঃ উজ্জ্বল হোসেন</t>
  </si>
  <si>
    <t>০৬/০৭/২০০৪</t>
  </si>
  <si>
    <t>১৭০, মহিষাখোলা, গাংনী, মেহেরপুর</t>
  </si>
  <si>
    <t>মোছাঃ কেয়া খাতুন</t>
  </si>
  <si>
    <t>১৯/০৩/২০০৫</t>
  </si>
  <si>
    <t>৬৬, মহিষাখোলা, গাংনী, মেহেরপুর</t>
  </si>
  <si>
    <t>মোঃ বাবুল</t>
  </si>
  <si>
    <t>মোছাঃ মল্লিকা খাতুন</t>
  </si>
  <si>
    <t>০৫/০৮/২০০৫</t>
  </si>
  <si>
    <t>১৯২, মহিষাখোলা, গাংনী, মেহেরপুর</t>
  </si>
  <si>
    <t>১৫/০৮/২০০৫</t>
  </si>
  <si>
    <t>১৭৪, মহিষাখোলা, গাংনী, মেহেরপুর</t>
  </si>
  <si>
    <t>০৫/১২/২০০৫</t>
  </si>
  <si>
    <t>২০০, মহিষাখোলা, গাংনী, মেহেরপুর</t>
  </si>
  <si>
    <t>সাবান আলি</t>
  </si>
  <si>
    <t>কোহিনুর খাতুন</t>
  </si>
  <si>
    <t>০২/০১/২০০৫</t>
  </si>
  <si>
    <t>লামিয়া খাতুন</t>
  </si>
  <si>
    <t>মোঃ ইয়াসিন আলী</t>
  </si>
  <si>
    <t>২৯/০১/২০০৫</t>
  </si>
  <si>
    <t>৩৫০, মহিষাখোলা, গাংনী, মেহেরপুর</t>
  </si>
  <si>
    <t>মোছাঃ শাহিলা খাতুন</t>
  </si>
  <si>
    <t>মোঃ রবিউল ইসলাম</t>
  </si>
  <si>
    <t>মোছাঃ নার্গিস আরা</t>
  </si>
  <si>
    <t>০৫/০৪/২০০৬</t>
  </si>
  <si>
    <t>-১৯৯, মহিষাখোলা, গাংনী, মেহেরপুর</t>
  </si>
  <si>
    <t>মোছাঃ রাফিয়া খাতুন</t>
  </si>
  <si>
    <t>মোঃ হাফিজুর রহমান</t>
  </si>
  <si>
    <t>০৫/১২/২০০৬</t>
  </si>
  <si>
    <t>৭৯, মহিষাখোলা, গাংনী, মেহেরপুর</t>
  </si>
  <si>
    <t>মোছাঃ রত্না খাতুন</t>
  </si>
  <si>
    <t>মোঃ আঃ মান্নান</t>
  </si>
  <si>
    <t>১৪/১২/১৯৯৩</t>
  </si>
  <si>
    <t>মোছাঃ সপনা খাতুন</t>
  </si>
  <si>
    <t>মোঃ তবারক আলী</t>
  </si>
  <si>
    <t>২৫/০৪/১৯৯৮</t>
  </si>
  <si>
    <t>মোছাঃ জান্নাতুল ফেরদৌস</t>
  </si>
  <si>
    <t>মোঃ মকবুল হোসেন</t>
  </si>
  <si>
    <t>০৭/০৫/১৯৯৯</t>
  </si>
  <si>
    <t>-১৯২, মহিষাখোলা, গাংনী, মেহেরপুর</t>
  </si>
  <si>
    <t>১৭/১০/২০০০</t>
  </si>
  <si>
    <t>৭৮, মহিষাখোলা, গাংনী, মেহেরপুর</t>
  </si>
  <si>
    <t>মোঃ সাহাদুল ইসলাম</t>
  </si>
  <si>
    <t>০২/০৩/২০০২</t>
  </si>
  <si>
    <t>১০০, মহিষাখোলা, গাংনী, মেহেরপুর</t>
  </si>
  <si>
    <t>আশাদুল</t>
  </si>
  <si>
    <t>ববিতা খাতুন</t>
  </si>
  <si>
    <t>১৭/১০/১৯৯৪</t>
  </si>
  <si>
    <t>মোছাঃ নাজরিন নেছা</t>
  </si>
  <si>
    <t>মোঃ লাল্টু হোসেন</t>
  </si>
  <si>
    <t>০৫/১১/২০০৩</t>
  </si>
  <si>
    <t>১২০, মহিষাখোলা, গাংনী, মেহেরপুর</t>
  </si>
  <si>
    <t>মোছাঃ আঁখি খাতুন</t>
  </si>
  <si>
    <t>আতিয়ার রহমান</t>
  </si>
  <si>
    <t>১৯/০৬/২০০১</t>
  </si>
  <si>
    <t>মোছাঃ সুরভী আক্তার ইভা</t>
  </si>
  <si>
    <t>ছালিম</t>
  </si>
  <si>
    <t>২০/০৩/২০০২</t>
  </si>
  <si>
    <t>তামান্না খাতুন</t>
  </si>
  <si>
    <t>মোঃ ফরজ আলী</t>
  </si>
  <si>
    <t>মোছাঃ রোকসানা খাতুন</t>
  </si>
  <si>
    <t>০৪/১০/২০০২</t>
  </si>
  <si>
    <t>মিস হুসনেয়ারা</t>
  </si>
  <si>
    <t>০৬/০৯/২০০৪</t>
  </si>
  <si>
    <t>মীর মোঃ কাউছার</t>
  </si>
  <si>
    <t>০৩/০৪/২০০৫</t>
  </si>
  <si>
    <t>মোছাঃ সাধীনা খাতুন</t>
  </si>
  <si>
    <t>মোঃ সাহাব উদ্দীন</t>
  </si>
  <si>
    <t>মোছাঃ রোকেয়া বেগম</t>
  </si>
  <si>
    <t>৩০/১০/২০০২</t>
  </si>
  <si>
    <t>মোছাঃ কল্পনা</t>
  </si>
  <si>
    <t>মোঃ ঈসমাইল</t>
  </si>
  <si>
    <t>১০/০৯/১৯৮৮</t>
  </si>
  <si>
    <t>মোঃ গোলাম রসুল</t>
  </si>
  <si>
    <t>মোছাঃ শাবাতন নেছা</t>
  </si>
  <si>
    <t>২৩/০৭/১৯৭৭</t>
  </si>
  <si>
    <t>মোছাঃ শান্তি খাতুন</t>
  </si>
  <si>
    <t>২৭/০৮/২০০২</t>
  </si>
  <si>
    <t>রেজিয়া আক্তার</t>
  </si>
  <si>
    <t>আজিজুল হক</t>
  </si>
  <si>
    <t>মৃত মুর্শিদা খাতুন</t>
  </si>
  <si>
    <t>০৫/০৪/২০০৩</t>
  </si>
  <si>
    <t>মোঃ ঠান্ডু মিয়া</t>
  </si>
  <si>
    <t>০৭/১২/২০০২</t>
  </si>
  <si>
    <t>শারমিন আক্তার</t>
  </si>
  <si>
    <t>মোঃ কামাল</t>
  </si>
  <si>
    <t>২১৩, মহিষাখোলা, গাংনী, মেহেরপুর</t>
  </si>
  <si>
    <t>শাপলা খাতুন</t>
  </si>
  <si>
    <t>মোঃ রজ্জব আলী</t>
  </si>
  <si>
    <t>মোছাঃ আকতারন নেছা</t>
  </si>
  <si>
    <t>০২/১০/২০০৩</t>
  </si>
  <si>
    <t>৩৫৫, মহিষাখোলা, গাংনী, মেহেরপুর</t>
  </si>
  <si>
    <t>আব্বাস আলী</t>
  </si>
  <si>
    <t>মোছাঃ তাছলিমা খাতুন</t>
  </si>
  <si>
    <t>০৪/০৬/২০০০</t>
  </si>
  <si>
    <t>০৫/০১/১৯৮৭</t>
  </si>
  <si>
    <t>মোছাঃ কুরছিয়া খাতুন</t>
  </si>
  <si>
    <t>মোঃ আকবর আলী</t>
  </si>
  <si>
    <t>০৮/০৪/১৯৮৭</t>
  </si>
  <si>
    <t>মোসাঃ শিরিন আকতার</t>
  </si>
  <si>
    <t>ছবি ফকির</t>
  </si>
  <si>
    <t>মোসাঃ বিউটি বেগম</t>
  </si>
  <si>
    <t>০১/০১/১৯৯৭</t>
  </si>
  <si>
    <t>গৃহকর্মী</t>
  </si>
  <si>
    <t>আবু বকর</t>
  </si>
  <si>
    <t>আয়রন নেছা</t>
  </si>
  <si>
    <t>১৩/০৩/১৯৬০</t>
  </si>
  <si>
    <t>মোছাঃ ফেরদৌসী</t>
  </si>
  <si>
    <t>সাহেব আলী</t>
  </si>
  <si>
    <t>মোছাঃ দোলাজান</t>
  </si>
  <si>
    <t>০৮/০৫/১৯৭৭</t>
  </si>
  <si>
    <t>মোছাঃ বিসমি খাতুন</t>
  </si>
  <si>
    <t>মোঃ কুতুব উদ্দিন</t>
  </si>
  <si>
    <t>১৬/০২/২০০৫</t>
  </si>
  <si>
    <t>মোঃ ইনামুল হক</t>
  </si>
  <si>
    <t>২০/১২/২০০৪</t>
  </si>
  <si>
    <t>মোছাঃ জান্নাতুল মাওয়া</t>
  </si>
  <si>
    <t>মোহাঃ ইসমাঈল হোসেন</t>
  </si>
  <si>
    <t>মোছাঃ গুলশানারা</t>
  </si>
  <si>
    <t>০৫/০৬/২০০৫</t>
  </si>
  <si>
    <t>মোঃ জাহাঙ্গীর আলম</t>
  </si>
  <si>
    <t>মোছাঃ মাসুমা খাতুন</t>
  </si>
  <si>
    <t>০৩/০৬/২০০৪</t>
  </si>
  <si>
    <t>মোঃ নাসির উদ্দীন</t>
  </si>
  <si>
    <t>মোছাঃ রাশেদা খাতুন</t>
  </si>
  <si>
    <t>রাজিয়া খাতুন</t>
  </si>
  <si>
    <t>০৩/০২/২০০৬</t>
  </si>
  <si>
    <t>মোছাঃ সুরাইয়া আক্তার</t>
  </si>
  <si>
    <t>মোছাঃ নার্গিছ খাতুন</t>
  </si>
  <si>
    <t>০২/১০/২০০৬</t>
  </si>
  <si>
    <t>মোঃ মিন্টু আলী</t>
  </si>
  <si>
    <t>মোছাঃ কুমিতা খাতুন</t>
  </si>
  <si>
    <t>০৫/০৮/২০০৬</t>
  </si>
  <si>
    <t>মোছাঃ শান্তাহার খাতুন</t>
  </si>
  <si>
    <t>মৃত মোছাঃ ছুনুয়ারা খাতুন</t>
  </si>
  <si>
    <t>০২/০৪/১৯৯৯</t>
  </si>
  <si>
    <t>মোছাঃ জ্যোতি</t>
  </si>
  <si>
    <t>মোঃ লিটন</t>
  </si>
  <si>
    <t>২৬/১২/২০০৪</t>
  </si>
  <si>
    <t>মৃত হাফিজুল</t>
  </si>
  <si>
    <t>০৫/০৩/২০০৩</t>
  </si>
  <si>
    <t>মোঃ সিদ্দিক আলী</t>
  </si>
  <si>
    <t>০৫/১২/২০০৪</t>
  </si>
  <si>
    <t>মোছাঃ রানী আক্তার মায়া</t>
  </si>
  <si>
    <t>মোঃ আসাদুল ইসলাম</t>
  </si>
  <si>
    <t>মোছাঃ মুছলিমা খাতুন</t>
  </si>
  <si>
    <t>১৭/০৯/২০০৩</t>
  </si>
  <si>
    <t>মোঃ সহিদুল ইসলাম</t>
  </si>
  <si>
    <t>০৯/১০/২০০৩</t>
  </si>
  <si>
    <t>মোছাঃ জান্নাতুল ফেরদৌস নিশি</t>
  </si>
  <si>
    <t>মোঃ ইসমাইল হোসেন</t>
  </si>
  <si>
    <t>মোছাঃ নার্গিস পারভিন</t>
  </si>
  <si>
    <t>১১/০৩/২০০৬</t>
  </si>
  <si>
    <t>মোছাঃ রিম্পা খাতুন</t>
  </si>
  <si>
    <t>২৮/১২/২০০২</t>
  </si>
  <si>
    <t>মোঃ আনোয়ার আলী</t>
  </si>
  <si>
    <t>মোছাঃ সিমা খাতুন</t>
  </si>
  <si>
    <t>১৫/০১/২০০২</t>
  </si>
  <si>
    <t>মোছাঃ কাজল রেখা</t>
  </si>
  <si>
    <t>মোঃ কাওলাদ হোসেন</t>
  </si>
  <si>
    <t>মোছাঃ সজিবা বেগম</t>
  </si>
  <si>
    <t>২৪/০৬/২০০৩</t>
  </si>
  <si>
    <t>মোঃ আঃ জব্বার</t>
  </si>
  <si>
    <t>মোছাঃ তানজিরা খাতুন</t>
  </si>
  <si>
    <t>১০/০৮/২০০৫</t>
  </si>
  <si>
    <t>নুরুননাহার খাতুন</t>
  </si>
  <si>
    <t>মোঃ নুরুল ইসলাম</t>
  </si>
  <si>
    <t>মোছাঃ রুমী খাতুন</t>
  </si>
  <si>
    <t>০১/০৫/২০০৫</t>
  </si>
  <si>
    <t>মোঃ আব্বাস আলী</t>
  </si>
  <si>
    <t>০১/০৮/২০০৫</t>
  </si>
  <si>
    <t>মোছাঃ সুলতানা খাতুন</t>
  </si>
  <si>
    <t>মোঃ সাজদার আলী</t>
  </si>
  <si>
    <t>১৫/১০/২০০৬</t>
  </si>
  <si>
    <t>মোছাঃ সোহাগী খাতুন</t>
  </si>
  <si>
    <t>মোঃ সরোআর আলী</t>
  </si>
  <si>
    <t>মোছাঃ আফরোজা বেগম</t>
  </si>
  <si>
    <t>২২/০৩/২০০১</t>
  </si>
  <si>
    <t>মোছাঃ দিতি খাতুন</t>
  </si>
  <si>
    <t>মোছাঃ পিরজিরা খাতুন</t>
  </si>
  <si>
    <t>০৮/০৭/২০০৪</t>
  </si>
  <si>
    <t>মৃত আয়ুব আলী</t>
  </si>
  <si>
    <t>মোছাঃ বানু খাতুন</t>
  </si>
  <si>
    <t>১২/০৪/২০০৫</t>
  </si>
  <si>
    <t>সাহেরা খাতুন</t>
  </si>
  <si>
    <t>মোঃ আব্দুল জলিল</t>
  </si>
  <si>
    <t>০৫/১১/২০০৬</t>
  </si>
  <si>
    <t>মোছাঃ হুসনিয়ারা খাতুন</t>
  </si>
  <si>
    <t>মোঃ ইমাদুল হক</t>
  </si>
  <si>
    <t>মোছাঃ হারিজল নেছা</t>
  </si>
  <si>
    <t>২০/০৬/২০০৪</t>
  </si>
  <si>
    <t>মোছাঃ প্রিতি খাতুন</t>
  </si>
  <si>
    <t>২৫/০৪/২০০২</t>
  </si>
  <si>
    <t>মোছাঃ নাফিজা খাতুন</t>
  </si>
  <si>
    <t>মোঃ নজির আহমেদ</t>
  </si>
  <si>
    <t>মোছাঃ রেনু খাতুন</t>
  </si>
  <si>
    <t>১২/০৫/২০০৫</t>
  </si>
  <si>
    <t>মোছাঃ মায়া খাতুন</t>
  </si>
  <si>
    <t>মোঃ জান্নাত আলী</t>
  </si>
  <si>
    <t>০২/০৯/২০০৫</t>
  </si>
  <si>
    <t>মোছাঃ ফেন্সী খাতুন</t>
  </si>
  <si>
    <t>১৩/০৫/১৯৯৮</t>
  </si>
  <si>
    <t>মোছাঃ মনিরা খাতুন</t>
  </si>
  <si>
    <t>মোঃ মঈনূদ্দীন</t>
  </si>
  <si>
    <t>১১/০৯/২০০৫</t>
  </si>
  <si>
    <t>আয়েশা সিদ্দীকা</t>
  </si>
  <si>
    <t>০৪/০৭/২০০৪</t>
  </si>
  <si>
    <t>মোছাঃ লাবনী আক্তার বৃষ্টি</t>
  </si>
  <si>
    <t>মোছাঃ লতিফা খাতুন</t>
  </si>
  <si>
    <t>০২/০২/২০০২</t>
  </si>
  <si>
    <t>০৩/০৭/২০০৩</t>
  </si>
  <si>
    <t>মোঃ গোলাম সরোয়ার</t>
  </si>
  <si>
    <t>১০/০২/১৯৮২</t>
  </si>
  <si>
    <t>মোঃ এনামুল হক</t>
  </si>
  <si>
    <t>০১/০৭/২০০৭</t>
  </si>
  <si>
    <t>মোঃ হামিদুল হক</t>
  </si>
  <si>
    <t>২৬/০১/২০০৭</t>
  </si>
  <si>
    <t>মোছাঃ সাদিয়া আফরিন স্বপ্না</t>
  </si>
  <si>
    <t>কুতুব উদ্দিন</t>
  </si>
  <si>
    <t>২০/০৬/২০০৭</t>
  </si>
  <si>
    <t>মোছাঃ শুকতারা খাতুন</t>
  </si>
  <si>
    <t>মোঃ আখতারুজ্জামান</t>
  </si>
  <si>
    <t>২৫/১০/২০০৭</t>
  </si>
  <si>
    <t>লিপা খাতুন</t>
  </si>
  <si>
    <t>হুমায়ন আলী</t>
  </si>
  <si>
    <t>০২/০৭/২০০৭</t>
  </si>
  <si>
    <t>মিম</t>
  </si>
  <si>
    <t>মোঃ মমিন আলী</t>
  </si>
  <si>
    <t>মোছাঃ নূরজাহান</t>
  </si>
  <si>
    <t>০৮/০৫/২০০৭</t>
  </si>
  <si>
    <t>মোঃ মকলেচুর রহমান</t>
  </si>
  <si>
    <t>১৫/০১/২০০৭</t>
  </si>
  <si>
    <t>নুসরাত জাহান উর্মি</t>
  </si>
  <si>
    <t>আনোয়ার হোসেন</t>
  </si>
  <si>
    <t>২১/০৪/২০০৭</t>
  </si>
  <si>
    <t>মোছাঃ জুবাইদা খাতুন</t>
  </si>
  <si>
    <t>০৪/০২/২০০৭</t>
  </si>
  <si>
    <t>মোছাঃ নাজমিনা আক্তার স্মৃতি</t>
  </si>
  <si>
    <t>মোঃ নাজেরুল ইসলাম</t>
  </si>
  <si>
    <t>মোছাঃ মহিমা বেগম</t>
  </si>
  <si>
    <t>০২/০৩/২০০৮</t>
  </si>
  <si>
    <t>ক্রমিক নং,নাম,ভোটার নং,পিতা,মাতা,জন্ম তারিখ,পেশা,ঠিকানা</t>
  </si>
  <si>
    <t>০০২,সুমাইয়া খাতুন,৫৭০০৫৪৩৭৪২৬১৯,মোঃ চুরমান আলী,মোছাঃ রেকমত খাতুন,০৮/০৮/২০০৪,গৃহিনী,"চান্দামারি, শানঘাট, গাংনী, মেহেরপুর"</t>
  </si>
  <si>
    <t>০০৩,মোছাঃ মমিনা খাতুন,৫৭০০৫৪৩৭৭৪০০২,খোরশেদ,মোছাঃ মইফুল খাতুন,১০/১০/১৯৭২,গৃহিনী,"মহিষাখোলা, গাংনী, মেহেরপুর"</t>
  </si>
  <si>
    <t>০০৪,মোছাঃ আয়েশা খাতুন,৫৭০০৫৪৩৭৭৪০০৪,হায়দার আলী মোল্লা,রওশনয়ারা,০১/০১/১৯৩৮,গৃহিনী,"মহিষাখোলা, গাংনী, মেহেরপুর"</t>
  </si>
  <si>
    <t>০০৫,মোছাঃ রমেছা বেগম,৫৭০০৫৪৩৭৭৪০০৫,মোঃ আফজাল হোসেন,হামেদা বেগম,১০/১০/১৯৭৫,গৃহিনী,"মহিষাখোলা, গাংনী, মেহেরপুর"</t>
  </si>
  <si>
    <t>০০৬,মোছাঃ বিলকিছ আরা,৫৭০০৫৪৩৭৭৪০০৬,মোঃ নাজিরুদ্দিন,মোছাঃ হিয়াতন নেছা,১০/০৫/১৯৮৫,গৃহিনী,"মহিষাখোলা, গাংনী, মেহেরপুর"</t>
  </si>
  <si>
    <t>০০৭,মোছাঃ নুরজাহান,৫৭০০৫৪৩৭৭৪০০৭,মোঃ মহসীন মন্ডল,মোছাঃ ওসিকা খাতুন,১০/০৫/১৯৭৭,গৃহিনী,"মহিষাখোলা, গাংনী, মেহেরপুর"</t>
  </si>
  <si>
    <t>০০৮,মোছাঃ মরিয়ম,৫৭০০৫৪৩৭৭৪০০৯,নূরী ইসলাম,মোছাঃ জায়েদা খাতুন,১০/০৬/১৯৭৭,গৃহিনী,"মহিষাখোলা, গাংনী, মেহেরপুর"</t>
  </si>
  <si>
    <t>০০৯,মোছাঃ রহিদা খাতুন,৫৭০০৫৪৩৭৭৪০১০,আব্দুল হামিদ,মোছাঃ জহুরা খাতুন,১২/১০/১৯৬৭,গৃহিনী,"মহিষাখোলা, গাংনী, মেহেরপুর"</t>
  </si>
  <si>
    <t>০১০,মোছাঃ হামেনা খাতুন,৫৭০০৫৪৩৭৭৪০১২,মোঃ ইছাহক,মোছাঃ ফুরু,৩০/১১/১৯৬৪,গৃহিনী,"মহিষাখোলা, গাংনী, মেহেরপুর"</t>
  </si>
  <si>
    <t>০১১,মোছাঃ রওশনারা,৫৭০০৫৪৩৭৭৪০১৪,ইছাহক বিশ্বাস,মোছাঃ জমেলা খাতুন,১২/০৫/১৯৬৫,গৃহিনী,"মহিষাখোলা, গাংনী, মেহেরপুর"</t>
  </si>
  <si>
    <t>০১২,মোছাঃ রেহেনা খাতুন,৫৭০০৫৪৩৭৭৪০১৫,ঈমান মন্ডল,মোছাঃ রাবিয়া,১৫/১০/১৯৫৫,গৃহিনী,"মহিষাখোলা, গাংনী, মেহেরপুর"</t>
  </si>
  <si>
    <t>০১৩,মোছাঃ পারুলা খাতুন,৫৭০০৫৪৩৭৭৪০১৬,মোঃ মুক্তার আলী,মোছাঃ আরেছা খাতুন,১২/০৬/১৯৮২,গৃহিনী,"মহিষাখোলা, গাংনী, মেহেরপুর"</t>
  </si>
  <si>
    <t>০১৪,মোছাঃ কোহিনুর বেগম,৫৭০০৫৪৩৭৭৪০২০,রিয়াজ উদ্দীন,রমেলা খাতুন,১২/১০/১৯৬৭,গৃহিনী,"মহিষাখোলা, গাংনী, মেহেরপুর"</t>
  </si>
  <si>
    <t>০১৫,মোছাঃ রাশিদা খাতুন,৫৭০০৫৪৩৭৭৪০২১,তাহাজুদ্দীন,মোছাঃ বিবিজান,১২/১০/১৯৭৯,গৃহিনী,"মহিষাখোলা, গাংনী, মেহেরপুর"</t>
  </si>
  <si>
    <t>০১৬,মোছাঃ আনোয়ারা খাতুন,৫৭০০৫৪৩৭৭৪০২৩,আব্দুস সাত্তার,মোছাঃ সাহেদা,১২/১০/১৯৭৭,গৃহিনী,"মহিষাখোলা, গাংনী, মেহেরপুর"</t>
  </si>
  <si>
    <t>০১৭,মোছাঃ আবেদা খাতুন,৫৭০০৫৪৩৭৭৪০২৬,নূর বকস,সোকিনা খাতুন,১২/১০/১৯৭৯,গৃহিনী,"মহিষাখোলা, গাংনী, মেহেরপুর"</t>
  </si>
  <si>
    <t>০১৮,মোছাঃ জাহানারা খাতুন,৫৭০০৫৪৩৭৭৪০২৭,মোঃ নজিমুদ্দীন,মোছাঃ সফুরা খাতুন,১২/১০/১৯৮৫,গৃহিনী,"মহিষাখোলা, গাংনী, মেহেরপুর"</t>
  </si>
  <si>
    <t>০১৯,মোছাঃ আছিয়া খাতুন,৫৭০০৫৪৩৭৭৪০৩০,মোঃ আব্দুল রশিদ,মোছাঃ মমেনা খাতুন,১২/০৫/১৯৮৯,গৃহিনী,"মহিষাখোলা, গাংনী, মেহেরপুর"</t>
  </si>
  <si>
    <t>০২০,মোছাঃ আলিয়া খাতুন,৫৭০০৫৪৩৭৭৪০৩১,আবুল কাশেম,আবেদা,১০/১০/১৯৬২,গৃহিনী,"মহিষাখোলা, গাংনী, মেহেরপুর"</t>
  </si>
  <si>
    <t>০২১,মোছাঃ আম্বিয়া খাতুন,৫৭০০৫৪৩৭৭৪০৩২,মোঃ হাইয়াত,মোছাঃ সুরাতন,১০/১০/১৯৫২,গৃহিনী,"মহিষাখোলা, গাংনী, মেহেরপুর"</t>
  </si>
  <si>
    <t>০২৩,মোছাঃ তহুরা খাতুন,৫৭০০৫৪৩৭৭৪০৩৪,মোঃ হযরত আলী,মোছাঃ কহিনুর,১২/১০/১৯৭৭,গৃহিনী,"মহিষাখোলা, গাংনী, মেহেরপুর"</t>
  </si>
  <si>
    <t>০২৪,মোছাঃ সানিয়া খাতুন,৫৭০০৫৪৩৭৭৪০৩৫,মোঃ শামসের,মোছাঃ ময়না খাতুন,১০/১০/১৯৮২,গৃহিনী,"মহিষাখোলা, গাংনী, মেহেরপুর"</t>
  </si>
  <si>
    <t>০২৫,মোছাঃ কহিনুর খাতুন,৫৭০০৫৪৩৭৭৪০৩৬,মোঃ আক্তার আলী,মোছাঃ ফিরোজা খাতুন,১২/১০/১৯৮৭,গৃহিনী,"মহিষাখোলা, গাংনী, মেহেরপুর"</t>
  </si>
  <si>
    <t>০২৬,মোছাঃ জাহানারা খাতুন,৫৭০০৫৪৩৭৭৪০৩৭,মোঃ হিপাজ উদ্দীন,মোছাঃ নয়নন নেছা,১২/০৫/১৯৬৭,গৃহিনী,"মহিষাখোলা, গাংনী, মেহেরপুর"</t>
  </si>
  <si>
    <t>০২৭,মোছাঃ জবেদা খাতুন,৫৭০০৫৪৩৭৭৪০৩৮,দুঃখী মন্ডল,মোছাঃ সারা খাতুন,১২/১০/১৯৮২,গৃহিনী,"মহিষাখোলা, গাংনী, মেহেরপুর"</t>
  </si>
  <si>
    <t>০২৮,মোছাঃ বেদানা খাতুন,৫৭০০৫৪৩৭৭৪০৩৯,মোঃ শহিদুল,মোছাঃ আকলিমা,১২/১০/১৯৮৪,গৃহিনী,"মহিষাখোলা, গাংনী, মেহেরপুর"</t>
  </si>
  <si>
    <t>০২৯,মোছাঃ হালিমা খাতুন,৫৭০০৫৪৩৭৭৪০৪০,আঃ কাদের,মোছাঃ মাহিরন,১০/১০/১৯৭২,গৃহিনী,"মহিষাখোলা, গাংনী, মেহেরপুর"</t>
  </si>
  <si>
    <t>০৩০,মোছাঃ আমেনা খাতুন,৫৭০০৫৪৩৭৭৪০৫০,মোঃ ফয়জদ্দীন,মোছাঃ হাসেনা,১০/০৮/১৯৭১,গৃহিনী,"মহিষাখোলা, গাংনী, মেহেরপুর"</t>
  </si>
  <si>
    <t>০৩১,মোছাঃ পান্না খাতুন,৫৭০০৫৪৩৭৭৪০৫৫,মোঃ আরসাফ মন্ডল,মোছাঃ সুরাতন,১০/০৪/১৯৮১,গৃহিনী,"মহিষাখোলা, গাংনী, মেহেরপুর"</t>
  </si>
  <si>
    <t>০৩২,মোছাঃ বেদেনা খাতুন,৫৭০০৫৪৩৭৭৪০৫৬,মোঃ হাশেম বিশ্বাস,মোছাঃ আনজিরা,১২/১০/১৯৮৩,গৃহিনী,"মহিষাখোলা, গাংনী, মেহেরপুর"</t>
  </si>
  <si>
    <t>০৩৩,মোছাঃ দিপালী খাতুন,৫৭০০৫৪৩৭৭৪০৫৭,মোঃ কিফাত মন্ডল,মোছাঃ আরজিয়া খাতুন,১৫/০৫/১৯৮৪,গৃহিনী,"মহিষাখোলা, গাংনী, মেহেরপুর"</t>
  </si>
  <si>
    <t>০৩৪,মোছাঃ ডলি আরা,৫৭০০৫৪৩৭৭৪০৫৮,রবকুল বিশ্বাস,মোছাঃ নিহারন,১২/১০/১৯৮৭,গৃহিনী,"মহিষাখোলা, গাংনী, মেহেরপুর"</t>
  </si>
  <si>
    <t>০৩৫,মোছাঃ মনোয়ারা খাতুন,৫৭০০৫৪৩৭৭৪০৫৯,আঃ সাত্তার,মোছাঃ রাবিয়া খাতুন,১২/০৫/১৯৬৭,গৃহিনী,"মহিষাখোলা, গাংনী, মেহেরপুর"</t>
  </si>
  <si>
    <t>০৩৬,মোছাঃ মনোয়ারা,৫৭০০৫৪৩৭৭৪০৬০,মোঃ আঃ বাহাজ,ানুরা খাতুন,১০/০২/১৯৬২,গৃহিনী,"মহিষাখোলা, গাংনী, মেহেরপুর"</t>
  </si>
  <si>
    <t>০৩৭,মোছাঃ সিয়াতন নেছা,৫৭০০৫৪৩৭৭৪০৬১,বিলাত মালিথা,খুকী,১২/১০/১৯৪৭,গৃহিনী,"মহিষাখোলা, গাংনী, মেহেরপুর"</t>
  </si>
  <si>
    <t>০৩৮,মোছাঃ জাহেদা খাতুন,৫৭০০৫৪৩৭৭৪০৬২,বাসী মন্ডল,মোছাঃ ফুলজান,১০/০৫/১৯৪৯,গৃহিনী,"মহিষাখোলা, গাংনী, মেহেরপুর"</t>
  </si>
  <si>
    <t>০৩৯,মোছাঃ ফাহিমা খাতুন,৫৭০০৫৪৩৭৭৪০৬৪,মোঃ বাবুর আলী,মোছাঃ মনোয়ারা খাতুন,১৬/০৫/১৯৮৭,গৃহিনী,"মহিষাখোলা, গাংনী, মেহেরপুর"</t>
  </si>
  <si>
    <t>০৪০,মোছাঃ পারুলা খাতুন,৫৭০০৫৪৩৭৭৪০৬৫,রাহিলদ্দীন,মোছাঃ রাবিয়া,১০/০৫/১৯৬৭,গৃহিনী,"মহিষাখোলা, গাংনী, মেহেরপুর"</t>
  </si>
  <si>
    <t>০৪১,মোছাঃ মনোয়ারা খাতুন,৫৭০০৫৪৩৭৭৪০৬৭,শামছুদ্দীন,রাবিয়া খাতুন,১৬/০৬/১৯৬২,গৃহিনী,"মহিষাখোলা, গাংনী, মেহেরপুর"</t>
  </si>
  <si>
    <t>০৪২,মোছাঃ পান্না খাতুন,৫৭০০৫৪৩৭৭৪০৬৮,মোঃ আঃ রশিদ,মোছাঃ সামসুন্নাহার,১০/০৫/১৯৮৫,গৃহিনী,"মহিষাখোলা, গাংনী, মেহেরপুর"</t>
  </si>
  <si>
    <t>০৪৩,মোছাঃ রহিমা খাতুন,৫৭০০৫৪৩৭৭৪০৬৯,ইরাজ মন্ডল,রেফন,১২/১০/১৯৫৫,গৃহিনী,"মহিষাখোলা, গাংনী, মেহেরপুর"</t>
  </si>
  <si>
    <t>০৪৪,মোছাঃ সাহেদা খাতুন,৫৭০০৫৪৩৭৭৪০৭২,মোঃ রবজেল শেখ,সোকিনা খাতুন,১২/০৫/১৯৪৯,গৃহিনী,"মহিষাখোলা, গাংনী, মেহেরপুর"</t>
  </si>
  <si>
    <t>০৪৫,মোছাঃ ফাতেমা খাতুন,৫৭০০৫৪৩৭৭৪০৭৩,মর্জেম বিশ্বাস,মোছাঃ আয়েশা খাতুন,১২/০৫/১৯৭৭,গৃহিনী,"মহিষাখোলা, গাংনী, মেহেরপুর"</t>
  </si>
  <si>
    <t>০৪৬,মোছাঃ তহমিনা খাতুন,৫৭০০৫৪৩৭৭৪০৭৪,মোঃ মিনাজ মন্ডল,মোছাঃ অনুরা,১০/১০/১৯৬৭,গৃহিনী,"মহিষাখোলা, গাংনী, মেহেরপুর"</t>
  </si>
  <si>
    <t>০৪৭,মোছাঃ আংুরা খাতুন,৫৭০০৫৪৩৭৭৪০৭৭,ইসলাম মন্ডল,মোছাঃ আমেনা,১৫/০৪/১৯৬২,গৃহিনী,"মহিষাখোলা, গাংনী, মেহেরপুর"</t>
  </si>
  <si>
    <t>০৪৮,মোছাঃ সামসুন্নাহার,৫৭০০৫৪৩৭৭৪০৭৯,গনি মন্ডল,আনোয়ারা,১০/০২/১৯৬৭,গৃহিনী,"মহিষাখোলা, গাংনী, মেহেরপুর"</t>
  </si>
  <si>
    <t>০৪৯,মোছাঃ ফাহিমা খাতুন,৫৭০০৫৪৩৭৭৪০৮১,নইমদ্দীন,মোছাঃ খোদেজা,১৫/০২/১৯৭২,গৃহিনী,"মহিষাখোলা, গাংনী, মেহেরপুর"</t>
  </si>
  <si>
    <t>০৫০,মোছাঃ শিউলী আরা,৫৭০০৫৪৩৭৭৪০৮৩,রহমতুল্লাহ,মোছাঃ গোলেনুর,১০/০৪/১৯৮১,গৃহিনী,"মহিষাখোলা, গাংনী, মেহেরপুর"</t>
  </si>
  <si>
    <t>০৫১,মোছাঃ রুকিয়া খাতুন,৫৭০০৫৪৩৭৭৪০৮৪,খবির উদ্দিন,রোকিনা খাতুন,১২/০২/১৯৬৫,গৃহিনী,"মহিষাখোলা, গাংনী, মেহেরপুর"</t>
  </si>
  <si>
    <t>০৫২,মোছাঃ সানজিদা খাতুন,৫৭০০৫৪৩৭৭৪০৮৭,মোঃ আমছার,মোছাঃ রাবিয়া খাতুন,১৫/০৫/১৯৮৪,গৃহিনী,"মহিষাখোলা, গাংনী, মেহেরপুর"</t>
  </si>
  <si>
    <t>০৫৩,মোছাঃ রহিমা খাতুন,৫৭০০৫৪৩৭৭৪০৮৮,দাউদ মলিথা,খাইরুন নেছা,১০/০৬/১৯৭৬,গৃহিনী,"মহিষাখোলা, গাংনী, মেহেরপুর"</t>
  </si>
  <si>
    <t>০৫৪,মোছাঃ পাপিয়া খাতুন,৫৭০০৫৪৩৭৭৪০৯০,মোঃ মফু মন্ডল,মোছাঃ সজিনা,২০/১২/১৯৭৩,গৃহিনী,"মহিষাখোলা, গাংনী, মেহেরপুর"</t>
  </si>
  <si>
    <t>০৫৫,মোছাঃ হাজেরা খাতুন,৫৭০০৫৪৩৭৭৪০৯২,কালাচাঁদ মন্ডল,ফাতেমা খাতুন,১০/০৪/১৯৬২,গৃহিনী,"মহিষাখোলা, গাংনী, মেহেরপুর"</t>
  </si>
  <si>
    <t>০৫৬,মোছাঃ সরলা খাতুন,৫৭০০৫৪৩৭৭৪০৯৫,মোঃ ফয়জদ্দীন,মোছাঃ রেজিয়া খাতুন,১০/০৪/১৯৮২,গৃহিনী,"মহিষাখোলা, গাংনী, মেহেরপুর"</t>
  </si>
  <si>
    <t>০৫৭,মোছাঃ শেফালী খাতুন,৫৭০০৫৪৩৭৭৪০৯৯,আজগর মন্ডল,মোছাঃ ফুলজান,০৮/০৬/১৯৭৫,গৃহিনী,"মহিষাখোলা, গাংনী, মেহেরপুর"</t>
  </si>
  <si>
    <t>০৫৮,মোছাঃ রেহেনা খাতুন,৫৭০০৫৪৩৭৭৪১০১,আবুল মন্ডল,মোছাঃ কহিনুর বেগম,০৫/০৭/১৯৬৯,গৃহিনী,"মহিষাখোলা, গাংনী, মেহেরপুর"</t>
  </si>
  <si>
    <t>০৫৯,মোছাঃ বিবিজান নেছা,৫৭০০৫৪৩৭৭৪১০৩,হছেন মালিথা,হেনা বেগম,২০/১০/১৯৪২,গৃহিনী,"মহিষাখোলা, গাংনী, মেহেরপুর"</t>
  </si>
  <si>
    <t>০৬০,মোছাঃ বেলি খাতুন,৫৭০০৫৪৩৭৭৪১০৪,মোঃ আবেদ আলী,মোছাঃ সাহার বানু,২১/১১/১৯৭৩,গৃহিনী,"মহিষাখোলা, গাংনী, মেহেরপুর"</t>
  </si>
  <si>
    <t>০৬১,মোছাঃ হুরজান খাতুন,৫৭০০৫৪৩৭৭৪১০৫,গোলাম রসুল,মোছাঃ হালিমা খাতুন,১১/০৭/১৯৬৯,গৃহিনী,"মহিষাখোলা, গাংনী, মেহেরপুর"</t>
  </si>
  <si>
    <t>০৬২,মোছাঃ খাইরুন নেছা,৫৭০০৫৪৩৭৭৪১০৭,ছাকেন উদ্দীন,গোলজান বিবি,১০/০৪/১৯৫৯,গৃহিনী,"মহিষাখোলা, গাংনী, মেহেরপুর"</t>
  </si>
  <si>
    <t>০৬৪,মোছাঃ পাপিয়া খাতুন,৫৭০০৫৪৩৭৭৪১১,রিয়াজ মন্ডল,মোছাঃ নিবারন নেছা,১০/০৫/১৯৮৬,গৃহিনী,"মহিষাখোলা, গাংনী, মেহেরপুর"</t>
  </si>
  <si>
    <t>০৬৫,মোছাঃ মইফুল নেছা,৫৭০০৫৪৩৭৭৪১১১,আত্তর আলী,নীধরী খাতুন,২০/১০/১৯৪৭,গৃহিনী,"মহিষাখোলা, গাংনী, মেহেরপুর"</t>
  </si>
  <si>
    <t>০৬৬,মোছাঃ মর্জিনা খাতুন,৫৭০০৫৪৩৭৭৪১১,শহিদ বকস,মোছাঃ নুরজাহান বেগম,০৬/০৫/১৯৬৯,গৃহিনী,"মহিষাখোলা, গাংনী, মেহেরপুর"</t>
  </si>
  <si>
    <t>০৬৭,মোছাঃ মুর্শিদা খাতুন,৫৭০০৫৪৩৭৭৪১১৩,শহিদ বকস,মোছাঃ তাহারন খাতুন,২৫/০৬/১৯৮৮,গৃহিনী,"মহিষাখোলা, গাংনী, মেহেরপুর"</t>
  </si>
  <si>
    <t>০৬৮,মোছাঃ ছালমা খাতুন,৫৭০০৫৪৩৭৭৪ ১১৪,মোঃ আলেক হোসেন,মোছাঃ আংগুরা খাতুন,০৫/০৭/১৯৮৪,গৃহিনী,"মহিষাখোলা, গাংনী, মেহেরপুর"</t>
  </si>
  <si>
    <t>০৬৯,মোছাঃ খালেদা খাতুন,৫৭০০৫৪৩৭৭৪ ১১৪,নুর ইসলাম মুন্সি,মোছাঃ রুপিয়া খাতুন,০৬/০৯/১৯৬৭,গৃহিনী,"মহিষাখোলা, গাংনী, মেহেরপুর"</t>
  </si>
  <si>
    <t>০৭০,মোছাঃ ছবেদা খাতুন,৫৭০০৫৪৩৭৭৪১১৬,নূর বকস মন্ডল,মোছাঃ ছারা খাতুন,২৮/০৬/১৯৭১,গৃহিনী,"মহিষাখোলা, গাংনী, মেহেরপুর"</t>
  </si>
  <si>
    <t>০৭১,মোছাঃ হরিছন নেছা,৫৭০০৫৪৩৭৭৪১২২,হায়দার আলী,মোছাঃ গুলনাহার বেগম,০৫/১১/১৯৭৯,গৃহিনী,"মহিষাখোলা, গাংনী, মেহেরপুর"</t>
  </si>
  <si>
    <t>০৭২,মোছাঃ গুলনাহার বেগম,৫৭০০৫৪৩৭৭৪১২৩,পিয়ার বকস,মোছাঃ মর্জিনা বেগম,১৫/১০/১৯৬৪,গৃহিনী,"মহিষাখোলা, গাংনী, মেহেরপুর"</t>
  </si>
  <si>
    <t>০৭৩,মোছাঃ বানুয়ারা খাতুন,৫৭০০৫৪৩৭৭৪১২৪,জুড়োন মল্লিক,হেকেরজান খাতুন,১০/১১/১৯৭০,গৃহিনী,"মহিষাখোলা, গাংনী, মেহেরপুর"</t>
  </si>
  <si>
    <t>০৭৪,মোছাঃ তোজিনা খাতুন,৫৭০০৫৪৩৭৭৪১২৬,মোঃ আঃ খালেক,মোছাঃ জরিনা খাতুন,১৫/০৭/১৯৮১,গৃহিনী,"মহিষাখোলা, গাংনী, মেহেরপুর"</t>
  </si>
  <si>
    <t>০৭৫,মোছাঃ নছিমন নেছা,৫৭০০৫৪৩৭৭৪১২৭,চামছুদ্দীন মন্ডল,আমেনা খাতুন,০৫/১০/১৯৩৭,গৃহিনী,"মহিষাখোলা, গাংনী, মেহেরপুর"</t>
  </si>
  <si>
    <t>০৭৬,মোছাঃ মনোয়ারা খাতুন,৫৭০০৫৪৩৭৭৪১২৮,দিদার বিশ্বাস,মোছাঃ নছিমন নেছা,১৪/০৮/১৯৭৩,গৃহিনী,"মহিষাখোলা, গাংনী, মেহেরপুর"</t>
  </si>
  <si>
    <t>০৭৭,মোছাঃ রওশনারা খাতুন,৫৭০০৫৪৩৭৭৪১২৯,মোঃ ইউনুচ মোল্লা,মোছাঃ হাওযা খাতুন,১০/০৮/১৯৭১,গৃহিনী,"মহিষাখোলা, গাংনী, মেহেরপুর"</t>
  </si>
  <si>
    <t>০৭৮,মোছাঃ হামেদা খাতুন,৫৭০০৫৪৩৭৭৪১৩১,হাকিন উদ্দীন,গোলেজান নেছা,২০/০৭/১৯৫২,গৃহিনী,"মহিষাখোলা, গাংনী, মেহেরপুর"</t>
  </si>
  <si>
    <t>০৭৯,মোছাঃ নুরজাহান খাতুন,৫৭০০৫৪৩৭৭৪১৩৪,দিদার বিশ্বাস,মোছাঃ নছিমন খাতুন,২০/১১/১৯৫২,গৃহিনী,"মহিষাখোলা, গাংনী, মেহেরপুর"</t>
  </si>
  <si>
    <t>০৮০,মোছাঃ রুমা খাতুন,৫৭০০৫৪৩৭৭৪১৩৫,মোঃ আছালদ্দীন,মোছাঃ হালেছা খাতুন,১৫/০৫/১৯৮১,গৃহিনী,"মহিষাখোলা, গাংনী, মেহেরপুর"</t>
  </si>
  <si>
    <t>০৮১,মোছাঃ জগোতারা খাতুন,৫৭০০৫৪৩৭৭৪১৩৭,রহিম বকস,মোছাঃ জায়েদা খাতুন,১৫/০৫/১৯৭৫,গৃহিনী,"মহিষাখোলা, গাংনী, মেহেরপুর"</t>
  </si>
  <si>
    <t>০৮২,মোছাঃ জোসনা খাতুন,৫৭০০৫৪৩৭৭৪১৩৮,মোঃ ওহাব আলী,মোছাঃ মনোয়ারা বেগম,০৪/১০/১৯৮৯,গৃহিনী,"মহিষাখোলা, গাংনী, মেহেরপুর"</t>
  </si>
  <si>
    <t>০৮৩,মোছাঃ রূপালী খাতুন,৫৭০০৫৪৩৭৭৪১৩৯,মোঃ ছাদের আলী,মোছাঃ তবিরন নেছা,১৫/০৭/১৯৮৩,গৃহিনী,"মহিষাখোলা, গাংনী, মেহেরপুর"</t>
  </si>
  <si>
    <t>০৮৪,মোছাঃ হাওয়া খাতুন,৫৭০০৫৪৩৭৭৪১৪০,ফজের আলী,রাহাতন বেগম,১৫/০৮/১৯৪৭,গৃহিনী,"মহিষাখোলা, গাংনী, মেহেরপুর"</t>
  </si>
  <si>
    <t>০৮৫,মোছাঃ নিহারন খাতুন,৫৭০০৫৪৩৭৭৪১৪১,মোঃ আবু বকর মন্ডল,মোছাঃ ওজুরা খাতুন,১২/০৩/১৯৬৭,গৃহিনী,"মহিষাখোলা, গাংনী, মেহেরপুর"</t>
  </si>
  <si>
    <t>০৮৭,মোছাঃ ফাহিমা খাতুন,৫৭০০৫৪৩৭৭৪১৪৬,মোঃ আঃ অলেপ,মোছাঃ আংগুরা বেগম,১৫/০৪/১৯৮৮,গৃহিনী,"মহিষাখোলা, গাংনী, মেহেরপুর"</t>
  </si>
  <si>
    <t>০৮৮,মোছাঃ রেকছোনা খাতুন,৫৭০০৫৪৩৭৭৪১৪৮,শরিয়ত আলী,মোছাঃ মনোয়ারা খাতুন,০৫/০৩/১৯৮৮,গৃহিনী,"মহিষাখোলা, গাংনী, মেহেরপুর"</t>
  </si>
  <si>
    <t>০৮৯,মোছাঃ আক্তারুন নাহার,৫৭০০৫৪৩৭৭৪১৫০,চাঁদ মন্ডল,মোছাঃ ছানোয়ারা,১৫/১০/১৯৭৭,গৃহিনী,"মহিষাখোলা, গাংনী, মেহেরপুর"</t>
  </si>
  <si>
    <t>০৯০,মোছাঃ ফিরোজা খাতুন,৫৭০০৫৪৩৭৭৪১৫১,মোঃ আঃ খালেক,মোছাঃ সাহেদা বেগম,১৫/০৫/১৯৮০,গৃহিনী,"মহিষাখোলা, গাংনী, মেহেরপুর"</t>
  </si>
  <si>
    <t>০৯১,মোছাঃ মাকছুরা খাতুন,৫৭০০৫৪৩৭৭৪১৫৩,মোঃ আইনাল মালিথা,মোছাঃ ছালেহার খাতুন,০৭/০২/১৯৭৯,গৃহিনী,"মহিষাখোলা, গাংনী, মেহেরপুর"</t>
  </si>
  <si>
    <t>০৯২,মোছাঃ নিছারন খাতুন,৫৭০০৫৪৩৭৭৪১৫৫,রওশন আলী,আলতা মনি,০৩/১০/১৯৩৭,গৃহিনী,"মহিষাখোলা, গাংনী, মেহেরপুর"</t>
  </si>
  <si>
    <t>০৯৩,মোছাঃ রমেলা খাতুন,৫৭০০৫৪৩৭৭৪১৫৮,খাতের মন্ডল,রমেছা খাতুন,০৫/১০/১৯৪১,গৃহিনী,"মহিষাখোলা, গাংনী, মেহেরপুর"</t>
  </si>
  <si>
    <t>০৯৪,মোছাঃ স্বপ্না আক্তার,৫৭০০৫৪৩৭৭৪১৫৯,মোঃ কলিমুদ্দীন মন্ডল,মোছাঃ শরিফা বেগম,০১/০১/১৯৮৪,গৃহিনী,"মহিষাখোলা, গাংনী, মেহেরপুর"</t>
  </si>
  <si>
    <t>০৯৫,মোছাঃ মিনারা খাতুন,৫৭০০৫৪৩৭৭৪১৬১,মোঃ তহেন আলী,মোছাঃ জাহিরা খাতুন,১৫/০৩/১৯৭২,গৃহিনী,"মহিষাখোলা, গাংনী, মেহেরপুর"</t>
  </si>
  <si>
    <t>০৯৬,মোছাঃ রওশনারা খাতুন,৫৭০০৫৪৩৭৭৪১৬২,হাসেম আলী,লতিফন নেছা,১০/০৪/১৯৬৯,গৃহিনী,"মহিষাখোলা, গাংনী, মেহেরপুর"</t>
  </si>
  <si>
    <t>০৯৭,মোছাঃ নিছারন নেছা,৫৭০০৫৪৩৭৭৪১৬৫,নস্কর মন্ডল,মিষ্ট খাতুন,১৪/০৪/১৯৩৯,গৃহিনী,"মহিষাখোলা, গাংনী, মেহেরপুর"</t>
  </si>
  <si>
    <t>০৯৮,মোছাঃ রহিমা খাতুন,৫৭০০৫৪৩৭৭৪১৬৭,মোঃ মোজাম্মেল হক,মোছাঃ ফাতেমা খাতুন,২০/১২/১৯৬৭,গৃহিনী,"মহিষাখোলা, গাংনী, মেহেরপুর"</t>
  </si>
  <si>
    <t>০৯৯,মোছাঃ রঞ্জিনা বেগম,৫৭০০৫৪৩৭৭৪১৬৯,মোঃ মকবুল ইসলাম,মোছাঃ আকলিমা বেগম,০৭/১০/১৯৮১,গৃহিনী,"মহিষাখোলা, গাংনী, মেহেরপুর"</t>
  </si>
  <si>
    <t>১০০,মোছাঃ সাহেরা খাতুন,৫৭০০৫৪৩৭৭৪ ১৭১,মোঃ আমির উদ্দীন,মোছাঃ মহিরন নেছা,১০/০৩/১৯৭৩,গৃহিনী,"মহিষাখোলা, গাংনী, মেহেরপুর"</t>
  </si>
  <si>
    <t>১০১,মোছাঃ শাহেদা খাতুন,৫৭০০৫৪৩৭৭৪১৭২,খলিল মন্ডল,জপিরন খাতুন,৩০/০৪/১৯৭০,গৃহিনী,"মহিষাখোলা, গাংনী, মেহেরপুর"</t>
  </si>
  <si>
    <t>১০২,মোছাঃ সাজেদা খাতুন,৫৭০০৫৪৩৭৭৪১৭৩,মোঃ হাউচ আলী,মোছাঃ সাহেরা খাতুন,১৫/০২/১৯৭১,গৃহিনী,"মহিষাখোলা, গাংনী, মেহেরপুর"</t>
  </si>
  <si>
    <t>১০৩,মোছাঃ সামছুন্নাহার খাতুন,৫৭০০৫৪৩৭৭৪১৭৪,মোঃ ছারাক আলী,মোছাঃ রুপিয়া খাতুন,২১/১১/১৯৭৫,গৃহিনী,"মহিষাখোলা, গাংনী, মেহেরপুর"</t>
  </si>
  <si>
    <t>১০৪,মোছাঃ সেলিনা খাতুন,৫৭০০৫৪৩৭৭৪১৭৭,মোঃ কাশেম সেখ,জহিরন নেছা,০৫/০৩/১৯৮৩,গৃহিনী,"মহিষাখোলা, গাংনী, মেহেরপুর"</t>
  </si>
  <si>
    <t>১০৫,মোছাঃ হালিমা খাতুন,৫৭০০৫৪৩৭৭৪১৭৮,ইশারত জোয়ার্দ্দার,ইরফান নেছা,৩০/১১/১৯৪২,গৃহিনী,"মহিষাখোলা, গাংনী, মেহেরপুর"</t>
  </si>
  <si>
    <t>১০৬,মোছাঃ উমোরা খাতুন,৫৭০০৫৪৩৭৭৪১৭৯,উমবাদ আলী,মোছাঃ সাহারন নেছা,০৫/১০/১৯৭৪,গৃহিনী,"মহিষাখোলা, গাংনী, মেহেরপুর"</t>
  </si>
  <si>
    <t>১০৭,মোছাঃ নাসিমা খাতুন,৫৭০০৫৪৩৭৭৪১৮০,নিয়াকত আলী,মোছাঃ ছামিরন নেছা,১০/০৩/১৯৭৯,গৃহিনী,"মহিষাখোলা, গাংনী, মেহেরপুর"</t>
  </si>
  <si>
    <t>১০৮,মোছাঃ নাসিমা খাতুন,৫৭০০৫৪৩৭৭৪১৮২,শুকুর বিশ্বাস,রমেছা খাতুন,০৫/১০/১৯৭১,গৃহিনী,"মহিষাখোলা, গাংনী, মেহেরপুর"</t>
  </si>
  <si>
    <t>১০৯,মোছাঃ ছানোয়ারা খাতুন,৫৭০০৫৪৩৭৭৪১৯৬,মোতালেব হোসেন,নিবাহন বেগম,৩০/১১/১৯৫৯,গৃহিনী,"মহিষাখোলা, গাংনী, মেহেরপুর"</t>
  </si>
  <si>
    <t>১১০,মোছাঃ লিলুফা খাতুন,৫৭০০৫৪৩৭৭৪১৯৭,মোঃ কফিল উদ্দীন,মোছাঃ সুফিয়া বেগম,১৫/০২/১৯৭৩,গৃহিনী,"মহিষাখোলা, গাংনী, মেহেরপুর"</t>
  </si>
  <si>
    <t>১১১,মোছাঃ বেদানা খাতুন,৫৭০০৫৪৩৭৭৪১৯৮,মোঃ নাজিমুদ্দীন,মোছাঃ ছবেদা বেগম,০৭/০৯/১৯৮১,গৃহিনী,"মহিষাখোলা, গাংনী, মেহেরপুর"</t>
  </si>
  <si>
    <t>১১২,মোছাঃ ছদিরন নেছা,৫৭০০৫৪৩৭৭৪১৯৯,মহাম্মদ মন্ডল,তুফাতন নেছা,০৪/০৭/১৯৪৯,গৃহিনী,"মহিষাখোলা, গাংনী, মেহেরপুর"</t>
  </si>
  <si>
    <t>১১৩,মোছাঃ আকলিমা খাতুন,৫৭০০৫৪৩৭৭৪২০৬,মোঃ গফ্ফোর মন্ডল,কমেলা বেগম,২০/০৫/১৯৬৭,গৃহিনী,"মহিষাখোলা, গাংনী, মেহেরপুর"</t>
  </si>
  <si>
    <t>১১৪,মোছাঃ সছরা খাতুন,৫৭০০৫৪৩৭৭৪২০৭,মওলা বকস,কমেলা বেগম,০৪/১০/১৯৭০,গৃহিনী,"মহিষাখোলা, গাংনী, মেহেরপুর"</t>
  </si>
  <si>
    <t>১১৫,মোছাঃ আলিফা খাতুন,৫৭০০৫৪৩৭৭৪২০৮,মোঃ আলতাব হোসেন,মোছাঃ আমেনা বেগম,০৫/০৩/১৯৮২,গৃহিনী,"মহিষাখোলা, গাংনী, মেহেরপুর"</t>
  </si>
  <si>
    <t>১১৬,মোছাঃ সুফিয়া খাতুন,৫৭০০৫৪৩৭৭৪২১১,দুধসেখ,মোছাঃ রাহিমা বেগম,৩১/১২/১৯৬০,গৃহিনী,"মহিষাখোলা, গাংনী, মেহেরপুর"</t>
  </si>
  <si>
    <t>১১৭,মোছাঃ আশরাফন নেছা,৫৭০০৫৪৩৭৭৪২১২,মোঃ কাবাতুল্লাহ,মোছাঃ সাহেরা খাতুন,২০/০৬/১৯৭৭,গৃহিনী,"মহিষাখোলা, গাংনী, মেহেরপুর"</t>
  </si>
  <si>
    <t>১১৮,মোছাঃ টুনুয়ারা খাতুন,৫৭০০৫৪৩৭৭৪২১৩,মোঃ আজিজুল হক,মোছাঃ বানুয়ারা খাতুন,০৩/১০/১৯৮৫,গৃহিনী,"মহিষাখোলা, গাংনী, মেহেরপুর"</t>
  </si>
  <si>
    <t>১১৯,মোছাঃ মেরিনা খাতুন,৫৭০০৫৪৩৭৭৪২১৪,মোঃ আতিয়ার রহমান,মোছাঃ বানিয়ারা খাতুন,২১/১১/১৯৭৫,গৃহিনী,"মহিষাখোলা, গাংনী, মেহেরপুর"</t>
  </si>
  <si>
    <t>১২০,মোছাঃ মনোয়ারা খাতুন,৫৭০০৫৪৩৭৭৪২১৫,মোঃ আবুল কাশেম,মোছাঃ নুরজাহান বেগম,২৫/০৮/১৯৭১,গৃহিনী,"মহিষাখোলা, গাংনী, মেহেরপুর"</t>
  </si>
  <si>
    <t>১২১,মোছাঃ মুসলিমা খাতুন,৫৭০০৫৪৩৭৭৪২১৯,আব্দুল মন্ডল,মোছাঃ কহিনুর খাতুন,৩১/১২/১৯৭১,গৃহিনী,"মহিষাখোলা, গাংনী, মেহেরপুর"</t>
  </si>
  <si>
    <t>১২২,মোছাঃ মমতাজ বেগম,৫৭০০৫৪৩৭৭৪২২০,মোঃ হরদম আলী,মোছাঃ আসমা খাতুন,০৫/১০/১৯৮৬,গৃহিনী,"মহিষাখোলা, গাংনী, মেহেরপুর"</t>
  </si>
  <si>
    <t>১২৩,মোছাঃ ছমিরন নেছা,৫৭০০৫৪৩৭৭৪২২৯,ছামছদ্দীন,মোছাঃ হালিমা খাতুন,১৫/১০/১৯৬৩,গৃহিনী,"মহিষাখোলা, গাংনী, মেহেরপুর"</t>
  </si>
  <si>
    <t>১২৪,মোছাঃ সাহারন নেছা,৫৭০০৫৪৩৭৭৪২৩০,খেদের আলী মন্ডল,মোছাঃ আলেজন বিবি,২৫/১১/১৯৬৭,গৃহিনী,"মহিষাখোলা, গাংনী, মেহেরপুর"</t>
  </si>
  <si>
    <t>১২৫,মোছাঃ নুরুন্নাহার বেগম,৫৭০০৫৪৩৭৭৪২৩২,দাউদ আলী বিশ্বাস,আনোয়ারা খাতুন,২১/০৩/১৯৬৯,গৃহিনী,"মহিষাখোলা, গাংনী, মেহেরপুর"</t>
  </si>
  <si>
    <t>১২৬,মোছাঃ ফাহিমা খাতুন,৫৭০০৫৪৩৭৭৪২৩৫,আব্দুল মোতালেব,মোছাঃ হামিদা বেগম,৩১/১২/১৯৭৮,গৃহিনী,"মহিষাখোলা, গাংনী, মেহেরপুর"</t>
  </si>
  <si>
    <t>১২৭,মোছাঃ পারভিনা খাতুন,৫৭০০৫৪৩৭৭৪২৩৬,মোঃ আঃ গনি,মোছাঃ আসমা খাতুন,১০/০৪/১৯৮৩,গৃহিনী,"মহিষাখোলা, গাংনী, মেহেরপুর"</t>
  </si>
  <si>
    <t>১২৯,মোছাঃ রাশিরা খাতুন,৫৭০০৫৪৩৭৭৪২৩৮,মোঃ আউব আলী,মোছাঃ কহিনুর খাতুন,২৫/০২/১৯৮০,গৃহিনী,"মহিষাখোলা, গাংনী, মেহেরপুর"</t>
  </si>
  <si>
    <t>১৩০,মোছাঃ নাজিরা খাতুন,৫৭০০৫৪৩৭৭৪২৩৯,মানিক মন্ডল,মোছাঃ জরিনা খাতুন,০৫/০৯/১৯৭০,গৃহিনী,"মহিষাখোলা, গাংনী, মেহেরপুর"</t>
  </si>
  <si>
    <t>১৩১,মোছাঃ রেজিয়া খাতুন,৫৭০০৫৪৩৭৭৪২৪১,মোঃ গরিব উল্লাহ,মোছাঃ নিছারন নেছা,১৫/০৬/১৯৬৭,গৃহিনী,"মহিষাখোলা, গাংনী, মেহেরপুর"</t>
  </si>
  <si>
    <t>১৩২,মোছাঃ আছিয়া খাতুন,৫৭০০৫৪৩৭৭৪২৪২,হিলিমদ্দীন,মোছাঃ নুরজাহান খাতুন,১০/০৫/১৯৭৭,গৃহিনী,"মহিষাখোলা, গাংনী, মেহেরপুর"</t>
  </si>
  <si>
    <t>১৩৩,মোছাঃ রওশনারা খাতুন,৫৭০০৫৪৩৭৭৪২৪৩,মফিজ উদ্দীন,আমিরন নেছা,৩১/১২/১৯৭০,গৃহিনী,"মহিষাখোলা, গাংনী, মেহেরপুর"</t>
  </si>
  <si>
    <t>১৩৪,মোছাঃ তাহিরন নেছা,৫৭০০৫৪৩৭৭৪২৫৯,মোঃ হায়াত মন্ডল,মোছাঃ সুরাতন নেছা,১০/০৪/১৯৬০,গৃহিনী,"মহিষাখোলা, গাংনী, মেহেরপুর"</t>
  </si>
  <si>
    <t>১৩৫,মোছাঃ হাওয়া খাতুন,৫৭০০৫৪৩৭৭৪২৬১,আব্দুল বিশ্বাস,মোছাঃ ছহিরন নেছা,২০/০৮/১৯৫৭,গৃহিনী,"মহিষাখোলা, গাংনী, মেহেরপুর"</t>
  </si>
  <si>
    <t>১৩৬,মোছাঃ আবেদা খাতুন,৫৭০০৫৪৩৭৭৪২৬৩,নেইমুদ্দীন,মোছাঃ নিরমলা খাতুন,২৫/০৪/১৯৭২,গৃহিনী,"মহিষাখোলা, গাংনী, মেহেরপুর"</t>
  </si>
  <si>
    <t>১৩৭,মোছাঃ ফেরদৌসী আরা,৫৭০০৫৪৩৭৭৪২৬৪,মোঃ আঃ হান্নান,মোছাঃ রুপিয়া খাতুন,৩০/০৫/১৯৬৯,গৃহিনী,"মহিষাখোলা, গাংনী, মেহেরপুর"</t>
  </si>
  <si>
    <t>১৩৮,মোছাঃ তহলিমা খাতুন,৫৭০০৫৪৩৭৭৪২৬৫,আতাহার মন্ডল,মোছাঃ মনোরা খাতুন,১০/০৯/১৯৭২,গৃহিনী,"মহিষাখোলা, গাংনী, মেহেরপুর"</t>
  </si>
  <si>
    <t>১৩৯,মোছাঃ হালিমা বেগম,৫৭০০৫৪৩৭৭৪২৬৬,চতুর মোল্লা,মোছাঃ মরিয়ম বেগম,১৫/০৩/১৯৬৯,গৃহিনী,"মহিষাখোলা, গাংনী, মেহেরপুর"</t>
  </si>
  <si>
    <t>১৪০,পলি খাতুন,৫৭০০৫৪৩৭৭৪২৬৭,মোঃ নুরু মোল্লা,মোছাঃ জরিমনা নেছা,১০/০৬/১৯৮০,গৃহিনী,"মহিষাখোলা, গাংনী, মেহেরপুর"</t>
  </si>
  <si>
    <t>১৪১,মোছাঃ মাহাতন নেছা,৫৭০০৫৪৩৭৭৪২৭৩,মহিরুদ্দীন মন্ডল,মোছাঃ আলতা বিবি,২০/০৩/১৯৭৫,গৃহিনী,"মহিষাখোলা, গাংনী, মেহেরপুর"</t>
  </si>
  <si>
    <t>১৪২,মোছাঃ বেদানা খাতুন,৫৭০০৫৪৩৭৭৪২৭৪,মোঃ হায়াত আলী,আউলিয়া খাতুন,১৫/০৪/১৯৬৭,গৃহিনী,"মহিষাখোলা, গাংনী, মেহেরপুর"</t>
  </si>
  <si>
    <t>১৪৩,মোছাঃ ছালমা খাতুন,৫৭০০৫৪৩৭৭৪২৭৫,মোঃ ফয়েজ উদ্দীন,মোছাঃ আছিয়া খাতুন,৩০/০৬/১৯৮৮,গৃহিনী,"মহিষাখোলা, গাংনী, মেহেরপুর"</t>
  </si>
  <si>
    <t>১৪৪,মোছাঃ লিপি খাতুন,৫৭০০৫৪৩৭৭৪২৮১,রাজ্জাক মল্লিক,মোছাঃ সুনাই বিবি,১৭/১০/১৯৮৩,গৃহিনী,"মহিষাখোলা, গাংনী, মেহেরপুর"</t>
  </si>
  <si>
    <t>১৪৫,মোছাঃ মহিলা খাতুন,৫৭০০৫৪৩৭৭৪২৮৪,মোঃ মওলা বকস,সুরাজ খাতুন,১৫/১১/১৯৭০,গৃহিনী,"মহিষাখোলা, গাংনী, মেহেরপুর"</t>
  </si>
  <si>
    <t>১৪৬,মোছাঃ লিলুফা খাতুন,৫৭০০৫৪৩৭৭৪২৮৭,মোঃ আবদাল হক,মোছাঃ ছাদিমন নেছা,০৭/০৬/১৯৬৭,গৃহিনী,"মহিষাখোলা, গাংনী, মেহেরপুর"</t>
  </si>
  <si>
    <t>১৪৭,মোছাঃ জোসনা খাতুন,৫৭০০৫৪৩৭৭৪২৮৯,রন বকস,মোছাঃ ছবেদা খাতুন,১৯/০৭/১৯৬৭,গৃহিনী,"মহিষাখোলা, গাংনী, মেহেরপুর"</t>
  </si>
  <si>
    <t>১৪৮,মোছাঃ শিলুফা খাতুন,৫৭০০৫৪৩৭৭৪২৯০,মোঃ বজলুর রহমান,মোছাঃ সেলিনা খাতুন,২০/০২/১৯৮৫,গৃহিনী,"মহিষাখোলা, গাংনী, মেহেরপুর"</t>
  </si>
  <si>
    <t>১৪৯,মোছাঃ রুবিনা খাতুন,৫৭০০৫৪৩৭৭৪২৯৬,মোঃ খাইরুল ইসলাম,মোছাঃ আনুরা খাতুন,১৩/০৬/১৯৮৩,গৃহিনী,"মহিষাখোলা, গাংনী, মেহেরপুর"</t>
  </si>
  <si>
    <t>১৫০,মোছাঃ আলতা খাতুন,৫৭০০৫৪৩৭৭৪২৯৭,বকস মন্ডল,মোছাঃ আমেনা খাতুন,১৪/০৬/১৯৬৭,গৃহিনী,"মহিষাখোলা, গাংনী, মেহেরপুর"</t>
  </si>
  <si>
    <t>১৫১,মোছাঃ ফাতেমা খাতুন,৫৭০০৫৪৩৭৭৪২৯৯,উমবাদ আলী,মোছাঃ পিঞ্জিরা খাতুন,২১/১১/১৯৭৩,গৃহিনী,"মহিষাখোলা, গাংনী, মেহেরপুর"</t>
  </si>
  <si>
    <t>১৫২,মোছা উজিলা খাতুন,৫৭০০৫৪৩৭৭৪৫১২,ছহিরুদ্দিন,মোছাঃ আনোয়ারা খাতুন,০৮/১১/১৯৭৭,গৃহিনী,"মহিষাখোলা, গাংনী, মেহেরপুর"</t>
  </si>
  <si>
    <t>১৫৩,মোছাঃ বেদানা খাতুন,৫৭০০৫৪৩৭৭৪৫১৩,রহমতুল্লাহ,মোছাঃ গলেনুর বেগম,২০/০৪/১৯৬৭,গৃহিনী,"মহিষাখোলা, গাংনী, মেহেরপুর"</t>
  </si>
  <si>
    <t>১৫৪,মোছাঃ কামরুন্নাহার খাতুন,৫৭০০৫৪৩৭৭৪৫১৯,মোঃ আঃ কুদ্দুস,মোছাঃ রুমেলা খাতুন,১০/০৫/১৯৮২,গৃহিনী,"মহিষাখোলা, গাংনী, মেহেরপুর"</t>
  </si>
  <si>
    <t>১৫৫,মোছাঃ মাহফুজা খাতুন,৫৭০০৫৪৩৭৭৪৫২০,আব্দুল আজিজ,মোছাঃ সফুরা খাতুন,০৬/০৬/১৯৭৮,গৃহিনী,"মহিষাখোলা, গাংনী, মেহেরপুর"</t>
  </si>
  <si>
    <t>১৫৬,মোছাঃ জীবন নাহার,৫৭০০৫৪৩৭৭৪৫২১,মোঃ মিনাজ উদ্দীন,মোছাঃ আকলিমা খাতুন,০৯/০৯/১৯৮৩,গৃহিনী,"মহিষাখোলা, গাংনী, মেহেরপুর"</t>
  </si>
  <si>
    <t>১৫৭,মোছাঃ মনোয়ারা খাতুন,৫৭০০৫৪৩৭৭৪৫২৮,মোঃ খেদ আলী মন্ডল,মোছাঃ কহিনুর খাতুন,০৮/০৭/১৯৭৫,গৃহিনী,"মহিষাখোলা, গাংনী, মেহেরপুর"</t>
  </si>
  <si>
    <t>১৫৮,মোছাঃ সেলিনা খাতুন,৫৭০০৫৪৩৭৭৪৫২৯,হেকমত আলী,মোছাঃ ছফেলা খাতুন,২০/০৬/১৯৭২,গৃহিনী,"মহিষাখোলা, গাংনী, মেহেরপুর"</t>
  </si>
  <si>
    <t>১৫৯,মোছাঃ মরিয়ম খাতুন,৫৭০০৫৪৩৭৭৪৫৩১,হলিমদ্দিন,রাহাতন নেছা,০৭/০৫/১৯৭৭,গৃহিনী,"মহিষাখোলা, গাংনী, মেহেরপুর"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</si>
</sst>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5.75" customHeight="1">
      <c r="A2" s="2">
        <v>2.0</v>
      </c>
      <c r="B2" s="1" t="s">
        <v>8</v>
      </c>
      <c r="C2" s="2">
        <v>5.70054375619E11</v>
      </c>
      <c r="D2" s="1" t="s">
        <v>9</v>
      </c>
      <c r="E2" s="1" t="s">
        <v>10</v>
      </c>
      <c r="F2" s="1" t="s">
        <v>11</v>
      </c>
      <c r="G2" s="1" t="s">
        <v>12</v>
      </c>
      <c r="H2" s="3" t="s">
        <v>13</v>
      </c>
      <c r="I2" s="1"/>
    </row>
    <row r="3" ht="15.75" customHeight="1">
      <c r="A3" s="2">
        <v>3.0</v>
      </c>
      <c r="B3" s="1" t="s">
        <v>14</v>
      </c>
      <c r="C3" s="2">
        <v>5.70054374002E11</v>
      </c>
      <c r="D3" s="1" t="s">
        <v>15</v>
      </c>
      <c r="E3" s="1" t="s">
        <v>16</v>
      </c>
      <c r="F3" s="1" t="s">
        <v>17</v>
      </c>
      <c r="G3" s="1" t="s">
        <v>12</v>
      </c>
      <c r="H3" s="3" t="s">
        <v>18</v>
      </c>
      <c r="I3" s="1"/>
      <c r="J3" s="4" t="s">
        <v>19</v>
      </c>
      <c r="K3" s="4" t="s">
        <v>20</v>
      </c>
      <c r="L3" s="4" t="s">
        <v>19</v>
      </c>
    </row>
    <row r="4" ht="15.75" customHeight="1">
      <c r="A4" s="2">
        <v>4.0</v>
      </c>
      <c r="B4" s="1" t="s">
        <v>21</v>
      </c>
      <c r="C4" s="2">
        <v>5.70054374004E11</v>
      </c>
      <c r="D4" s="1" t="s">
        <v>22</v>
      </c>
      <c r="E4" s="1" t="s">
        <v>23</v>
      </c>
      <c r="F4" s="1" t="s">
        <v>24</v>
      </c>
      <c r="G4" s="1" t="s">
        <v>12</v>
      </c>
      <c r="H4" s="3" t="s">
        <v>18</v>
      </c>
      <c r="I4" s="1"/>
      <c r="J4" s="4" t="s">
        <v>25</v>
      </c>
      <c r="K4" s="4" t="s">
        <v>19</v>
      </c>
      <c r="L4" s="4" t="s">
        <v>26</v>
      </c>
    </row>
    <row r="5" ht="15.75" customHeight="1">
      <c r="A5" s="2">
        <v>5.0</v>
      </c>
      <c r="B5" s="1" t="s">
        <v>27</v>
      </c>
      <c r="C5" s="2">
        <v>5.70054374005E11</v>
      </c>
      <c r="D5" s="1" t="s">
        <v>28</v>
      </c>
      <c r="E5" s="1" t="s">
        <v>29</v>
      </c>
      <c r="F5" s="1" t="s">
        <v>30</v>
      </c>
      <c r="G5" s="1" t="s">
        <v>12</v>
      </c>
      <c r="H5" s="3" t="s">
        <v>18</v>
      </c>
      <c r="I5" s="1"/>
      <c r="J5" s="4" t="s">
        <v>25</v>
      </c>
      <c r="K5" s="4" t="s">
        <v>19</v>
      </c>
      <c r="L5" s="4" t="s">
        <v>26</v>
      </c>
    </row>
    <row r="6" ht="15.75" customHeight="1">
      <c r="A6" s="2">
        <v>6.0</v>
      </c>
      <c r="B6" s="1" t="s">
        <v>31</v>
      </c>
      <c r="C6" s="2">
        <v>5.70054374006E11</v>
      </c>
      <c r="D6" s="1" t="s">
        <v>32</v>
      </c>
      <c r="E6" s="1" t="s">
        <v>33</v>
      </c>
      <c r="F6" s="1" t="s">
        <v>34</v>
      </c>
      <c r="G6" s="1" t="s">
        <v>12</v>
      </c>
      <c r="H6" s="3" t="s">
        <v>18</v>
      </c>
      <c r="I6" s="1"/>
      <c r="J6" s="4" t="s">
        <v>25</v>
      </c>
      <c r="K6" s="4" t="s">
        <v>19</v>
      </c>
      <c r="L6" s="4" t="s">
        <v>26</v>
      </c>
    </row>
    <row r="7" ht="15.75" customHeight="1">
      <c r="A7" s="2">
        <v>7.0</v>
      </c>
      <c r="B7" s="1" t="s">
        <v>35</v>
      </c>
      <c r="C7" s="2">
        <v>5.70054374007E11</v>
      </c>
      <c r="D7" s="1" t="s">
        <v>36</v>
      </c>
      <c r="E7" s="1" t="s">
        <v>37</v>
      </c>
      <c r="F7" s="1" t="s">
        <v>38</v>
      </c>
      <c r="G7" s="1" t="s">
        <v>12</v>
      </c>
      <c r="H7" s="3" t="s">
        <v>18</v>
      </c>
      <c r="I7" s="1"/>
      <c r="J7" s="4" t="s">
        <v>25</v>
      </c>
      <c r="K7" s="4" t="s">
        <v>19</v>
      </c>
      <c r="L7" s="4" t="s">
        <v>26</v>
      </c>
    </row>
    <row r="8" ht="15.75" customHeight="1">
      <c r="A8" s="2">
        <v>8.0</v>
      </c>
      <c r="B8" s="1" t="s">
        <v>39</v>
      </c>
      <c r="C8" s="2">
        <v>5.70054374009E11</v>
      </c>
      <c r="D8" s="1" t="s">
        <v>40</v>
      </c>
      <c r="E8" s="1" t="s">
        <v>41</v>
      </c>
      <c r="F8" s="1" t="s">
        <v>42</v>
      </c>
      <c r="G8" s="1" t="s">
        <v>12</v>
      </c>
      <c r="H8" s="3" t="s">
        <v>18</v>
      </c>
      <c r="I8" s="1"/>
      <c r="J8" s="4" t="s">
        <v>25</v>
      </c>
      <c r="K8" s="4" t="s">
        <v>19</v>
      </c>
      <c r="L8" s="4" t="s">
        <v>26</v>
      </c>
    </row>
    <row r="9" ht="15.75" customHeight="1">
      <c r="A9" s="2">
        <v>9.0</v>
      </c>
      <c r="B9" s="1" t="s">
        <v>43</v>
      </c>
      <c r="C9" s="2">
        <v>5.7005437401E11</v>
      </c>
      <c r="D9" s="1" t="s">
        <v>44</v>
      </c>
      <c r="E9" s="1" t="s">
        <v>45</v>
      </c>
      <c r="F9" s="1" t="s">
        <v>46</v>
      </c>
      <c r="G9" s="1" t="s">
        <v>12</v>
      </c>
      <c r="H9" s="3" t="s">
        <v>18</v>
      </c>
      <c r="I9" s="1"/>
      <c r="J9" s="4" t="s">
        <v>25</v>
      </c>
      <c r="K9" s="4" t="s">
        <v>19</v>
      </c>
      <c r="L9" s="4" t="s">
        <v>26</v>
      </c>
    </row>
    <row r="10" ht="15.75" customHeight="1">
      <c r="A10" s="2">
        <v>10.0</v>
      </c>
      <c r="B10" s="1" t="s">
        <v>47</v>
      </c>
      <c r="C10" s="2">
        <v>5.70054374012E11</v>
      </c>
      <c r="D10" s="1" t="s">
        <v>48</v>
      </c>
      <c r="E10" s="1" t="s">
        <v>49</v>
      </c>
      <c r="F10" s="1" t="s">
        <v>50</v>
      </c>
      <c r="G10" s="1" t="s">
        <v>12</v>
      </c>
      <c r="H10" s="3" t="s">
        <v>18</v>
      </c>
      <c r="I10" s="1"/>
      <c r="J10" s="4" t="s">
        <v>25</v>
      </c>
      <c r="K10" s="4" t="s">
        <v>19</v>
      </c>
      <c r="L10" s="4" t="s">
        <v>26</v>
      </c>
    </row>
    <row r="11" ht="15.75" customHeight="1">
      <c r="A11" s="2">
        <v>11.0</v>
      </c>
      <c r="B11" s="1" t="s">
        <v>51</v>
      </c>
      <c r="C11" s="2">
        <v>5.70054374014E11</v>
      </c>
      <c r="D11" s="1" t="s">
        <v>52</v>
      </c>
      <c r="E11" s="1" t="s">
        <v>53</v>
      </c>
      <c r="F11" s="1" t="s">
        <v>54</v>
      </c>
      <c r="G11" s="1" t="s">
        <v>12</v>
      </c>
      <c r="H11" s="3" t="s">
        <v>18</v>
      </c>
      <c r="I11" s="1"/>
      <c r="J11" s="4" t="s">
        <v>25</v>
      </c>
      <c r="K11" s="4" t="s">
        <v>19</v>
      </c>
      <c r="L11" s="4" t="s">
        <v>26</v>
      </c>
    </row>
    <row r="12" ht="15.75" customHeight="1">
      <c r="A12" s="2">
        <v>12.0</v>
      </c>
      <c r="B12" s="1" t="s">
        <v>55</v>
      </c>
      <c r="C12" s="2">
        <v>5.70054374015E11</v>
      </c>
      <c r="D12" s="1" t="s">
        <v>56</v>
      </c>
      <c r="E12" s="1" t="s">
        <v>57</v>
      </c>
      <c r="F12" s="1" t="s">
        <v>58</v>
      </c>
      <c r="G12" s="1" t="s">
        <v>12</v>
      </c>
      <c r="H12" s="3" t="s">
        <v>18</v>
      </c>
      <c r="I12" s="1"/>
      <c r="J12" s="4" t="s">
        <v>25</v>
      </c>
      <c r="K12" s="4" t="s">
        <v>19</v>
      </c>
      <c r="L12" s="4" t="s">
        <v>26</v>
      </c>
    </row>
    <row r="13" ht="15.75" customHeight="1">
      <c r="A13" s="2">
        <v>13.0</v>
      </c>
      <c r="B13" s="1" t="s">
        <v>59</v>
      </c>
      <c r="C13" s="2">
        <v>5.70054374016E11</v>
      </c>
      <c r="D13" s="1" t="s">
        <v>60</v>
      </c>
      <c r="E13" s="1" t="s">
        <v>61</v>
      </c>
      <c r="F13" s="1" t="s">
        <v>62</v>
      </c>
      <c r="G13" s="1" t="s">
        <v>12</v>
      </c>
      <c r="H13" s="3" t="s">
        <v>18</v>
      </c>
      <c r="I13" s="1"/>
      <c r="J13" s="4" t="s">
        <v>25</v>
      </c>
      <c r="K13" s="4" t="s">
        <v>19</v>
      </c>
      <c r="L13" s="4" t="s">
        <v>26</v>
      </c>
    </row>
    <row r="14" ht="15.75" customHeight="1">
      <c r="A14" s="2">
        <v>14.0</v>
      </c>
      <c r="B14" s="1" t="s">
        <v>63</v>
      </c>
      <c r="C14" s="2">
        <v>5.7005437402E11</v>
      </c>
      <c r="D14" s="1" t="s">
        <v>64</v>
      </c>
      <c r="E14" s="1" t="s">
        <v>65</v>
      </c>
      <c r="F14" s="1" t="s">
        <v>46</v>
      </c>
      <c r="G14" s="1" t="s">
        <v>12</v>
      </c>
      <c r="H14" s="3" t="s">
        <v>18</v>
      </c>
      <c r="I14" s="1"/>
      <c r="J14" s="4" t="s">
        <v>25</v>
      </c>
      <c r="K14" s="4" t="s">
        <v>19</v>
      </c>
      <c r="L14" s="4" t="s">
        <v>26</v>
      </c>
    </row>
    <row r="15" ht="15.75" customHeight="1">
      <c r="A15" s="2">
        <v>15.0</v>
      </c>
      <c r="B15" s="1" t="s">
        <v>66</v>
      </c>
      <c r="C15" s="2">
        <v>5.70054374021E11</v>
      </c>
      <c r="D15" s="1" t="s">
        <v>67</v>
      </c>
      <c r="E15" s="1" t="s">
        <v>68</v>
      </c>
      <c r="F15" s="1" t="s">
        <v>69</v>
      </c>
      <c r="G15" s="1" t="s">
        <v>12</v>
      </c>
      <c r="H15" s="3" t="s">
        <v>18</v>
      </c>
      <c r="I15" s="1"/>
      <c r="J15" s="4" t="s">
        <v>25</v>
      </c>
      <c r="K15" s="4" t="s">
        <v>19</v>
      </c>
      <c r="L15" s="4" t="s">
        <v>26</v>
      </c>
    </row>
    <row r="16" ht="15.75" customHeight="1">
      <c r="A16" s="2">
        <v>16.0</v>
      </c>
      <c r="B16" s="1" t="s">
        <v>70</v>
      </c>
      <c r="C16" s="2">
        <v>5.70054374023E11</v>
      </c>
      <c r="D16" s="1" t="s">
        <v>71</v>
      </c>
      <c r="E16" s="1" t="s">
        <v>72</v>
      </c>
      <c r="F16" s="1" t="s">
        <v>73</v>
      </c>
      <c r="G16" s="1" t="s">
        <v>12</v>
      </c>
      <c r="H16" s="3" t="s">
        <v>18</v>
      </c>
      <c r="I16" s="1"/>
      <c r="J16" s="4" t="s">
        <v>25</v>
      </c>
      <c r="K16" s="4" t="s">
        <v>19</v>
      </c>
      <c r="L16" s="4" t="s">
        <v>26</v>
      </c>
    </row>
    <row r="17" ht="15.75" customHeight="1">
      <c r="A17" s="2">
        <v>17.0</v>
      </c>
      <c r="B17" s="1" t="s">
        <v>74</v>
      </c>
      <c r="C17" s="2">
        <v>5.70054374026E11</v>
      </c>
      <c r="D17" s="1" t="s">
        <v>75</v>
      </c>
      <c r="E17" s="1" t="s">
        <v>76</v>
      </c>
      <c r="F17" s="1" t="s">
        <v>69</v>
      </c>
      <c r="G17" s="1" t="s">
        <v>12</v>
      </c>
      <c r="H17" s="3" t="s">
        <v>18</v>
      </c>
      <c r="I17" s="1"/>
      <c r="J17" s="4" t="s">
        <v>25</v>
      </c>
      <c r="K17" s="4" t="s">
        <v>19</v>
      </c>
      <c r="L17" s="4" t="s">
        <v>26</v>
      </c>
    </row>
    <row r="18" ht="15.75" customHeight="1">
      <c r="A18" s="2">
        <v>18.0</v>
      </c>
      <c r="B18" s="1" t="s">
        <v>77</v>
      </c>
      <c r="C18" s="2">
        <v>5.70054374027E11</v>
      </c>
      <c r="D18" s="1" t="s">
        <v>78</v>
      </c>
      <c r="E18" s="1" t="s">
        <v>79</v>
      </c>
      <c r="F18" s="1" t="s">
        <v>80</v>
      </c>
      <c r="G18" s="1" t="s">
        <v>12</v>
      </c>
      <c r="H18" s="3" t="s">
        <v>18</v>
      </c>
      <c r="I18" s="1"/>
      <c r="J18" s="4" t="s">
        <v>25</v>
      </c>
      <c r="K18" s="4" t="s">
        <v>19</v>
      </c>
      <c r="L18" s="4" t="s">
        <v>26</v>
      </c>
    </row>
    <row r="19" ht="15.75" customHeight="1">
      <c r="A19" s="2">
        <v>19.0</v>
      </c>
      <c r="B19" s="1" t="s">
        <v>81</v>
      </c>
      <c r="C19" s="2">
        <v>5.7005437403E11</v>
      </c>
      <c r="D19" s="1" t="s">
        <v>82</v>
      </c>
      <c r="E19" s="1" t="s">
        <v>83</v>
      </c>
      <c r="F19" s="1" t="s">
        <v>84</v>
      </c>
      <c r="G19" s="1" t="s">
        <v>12</v>
      </c>
      <c r="H19" s="3" t="s">
        <v>18</v>
      </c>
      <c r="I19" s="1"/>
      <c r="J19" s="4" t="s">
        <v>25</v>
      </c>
      <c r="K19" s="4" t="s">
        <v>19</v>
      </c>
      <c r="L19" s="4" t="s">
        <v>26</v>
      </c>
    </row>
    <row r="20" ht="15.75" customHeight="1">
      <c r="A20" s="2">
        <v>20.0</v>
      </c>
      <c r="B20" s="1" t="s">
        <v>85</v>
      </c>
      <c r="C20" s="2">
        <v>5.70054374031E11</v>
      </c>
      <c r="D20" s="1" t="s">
        <v>86</v>
      </c>
      <c r="E20" s="1" t="s">
        <v>87</v>
      </c>
      <c r="F20" s="1" t="s">
        <v>88</v>
      </c>
      <c r="G20" s="1" t="s">
        <v>12</v>
      </c>
      <c r="H20" s="3" t="s">
        <v>18</v>
      </c>
      <c r="I20" s="1"/>
      <c r="J20" s="4" t="s">
        <v>25</v>
      </c>
      <c r="K20" s="4" t="s">
        <v>19</v>
      </c>
      <c r="L20" s="4" t="s">
        <v>26</v>
      </c>
    </row>
    <row r="21" ht="15.75" customHeight="1">
      <c r="A21" s="2">
        <v>21.0</v>
      </c>
      <c r="B21" s="1" t="s">
        <v>89</v>
      </c>
      <c r="C21" s="2">
        <v>5.70054374032E11</v>
      </c>
      <c r="D21" s="1" t="s">
        <v>90</v>
      </c>
      <c r="E21" s="1" t="s">
        <v>91</v>
      </c>
      <c r="F21" s="1" t="s">
        <v>92</v>
      </c>
      <c r="G21" s="1" t="s">
        <v>12</v>
      </c>
      <c r="H21" s="3" t="s">
        <v>18</v>
      </c>
      <c r="I21" s="1"/>
      <c r="J21" s="4" t="s">
        <v>25</v>
      </c>
      <c r="K21" s="4" t="s">
        <v>19</v>
      </c>
      <c r="L21" s="4" t="s">
        <v>26</v>
      </c>
    </row>
    <row r="22" ht="15.75" customHeight="1">
      <c r="A22" s="2">
        <v>23.0</v>
      </c>
      <c r="B22" s="1" t="s">
        <v>93</v>
      </c>
      <c r="C22" s="2">
        <v>5.70054374034E11</v>
      </c>
      <c r="D22" s="1" t="s">
        <v>94</v>
      </c>
      <c r="E22" s="1" t="s">
        <v>95</v>
      </c>
      <c r="F22" s="1" t="s">
        <v>73</v>
      </c>
      <c r="G22" s="1" t="s">
        <v>12</v>
      </c>
      <c r="H22" s="3" t="s">
        <v>18</v>
      </c>
      <c r="I22" s="1"/>
    </row>
    <row r="23" ht="15.75" customHeight="1">
      <c r="A23" s="2">
        <v>24.0</v>
      </c>
      <c r="B23" s="1" t="s">
        <v>96</v>
      </c>
      <c r="C23" s="2">
        <v>5.70054374035E11</v>
      </c>
      <c r="D23" s="1" t="s">
        <v>97</v>
      </c>
      <c r="E23" s="1" t="s">
        <v>98</v>
      </c>
      <c r="F23" s="1" t="s">
        <v>99</v>
      </c>
      <c r="G23" s="1" t="s">
        <v>12</v>
      </c>
      <c r="H23" s="3" t="s">
        <v>18</v>
      </c>
      <c r="I23" s="1"/>
      <c r="J23" s="4" t="s">
        <v>25</v>
      </c>
      <c r="K23" s="4" t="s">
        <v>19</v>
      </c>
      <c r="L23" s="4" t="s">
        <v>26</v>
      </c>
    </row>
    <row r="24" ht="15.75" customHeight="1">
      <c r="A24" s="2">
        <v>25.0</v>
      </c>
      <c r="B24" s="1" t="s">
        <v>100</v>
      </c>
      <c r="C24" s="2">
        <v>5.70054374036E11</v>
      </c>
      <c r="D24" s="1" t="s">
        <v>101</v>
      </c>
      <c r="E24" s="1" t="s">
        <v>102</v>
      </c>
      <c r="F24" s="1" t="s">
        <v>103</v>
      </c>
      <c r="G24" s="1" t="s">
        <v>12</v>
      </c>
      <c r="H24" s="3" t="s">
        <v>18</v>
      </c>
      <c r="I24" s="1"/>
      <c r="J24" s="4" t="s">
        <v>25</v>
      </c>
      <c r="K24" s="4" t="s">
        <v>19</v>
      </c>
      <c r="L24" s="4" t="s">
        <v>26</v>
      </c>
    </row>
    <row r="25" ht="15.75" customHeight="1">
      <c r="A25" s="2">
        <v>26.0</v>
      </c>
      <c r="B25" s="1" t="s">
        <v>77</v>
      </c>
      <c r="C25" s="2">
        <v>5.70054374037E11</v>
      </c>
      <c r="D25" s="1" t="s">
        <v>104</v>
      </c>
      <c r="E25" s="1" t="s">
        <v>105</v>
      </c>
      <c r="F25" s="1" t="s">
        <v>106</v>
      </c>
      <c r="G25" s="1" t="s">
        <v>12</v>
      </c>
      <c r="H25" s="3" t="s">
        <v>18</v>
      </c>
      <c r="I25" s="1"/>
      <c r="J25" s="4" t="s">
        <v>25</v>
      </c>
      <c r="K25" s="4" t="s">
        <v>19</v>
      </c>
      <c r="L25" s="4" t="s">
        <v>26</v>
      </c>
    </row>
    <row r="26" ht="15.75" customHeight="1">
      <c r="A26" s="2">
        <v>27.0</v>
      </c>
      <c r="B26" s="1" t="s">
        <v>107</v>
      </c>
      <c r="C26" s="2">
        <v>5.70054374038E11</v>
      </c>
      <c r="D26" s="1" t="s">
        <v>108</v>
      </c>
      <c r="E26" s="1" t="s">
        <v>109</v>
      </c>
      <c r="F26" s="1" t="s">
        <v>110</v>
      </c>
      <c r="G26" s="1" t="s">
        <v>12</v>
      </c>
      <c r="H26" s="3" t="s">
        <v>18</v>
      </c>
      <c r="I26" s="1"/>
      <c r="J26" s="4" t="s">
        <v>25</v>
      </c>
      <c r="K26" s="4" t="s">
        <v>19</v>
      </c>
      <c r="L26" s="4" t="s">
        <v>26</v>
      </c>
    </row>
    <row r="27" ht="15.75" customHeight="1">
      <c r="A27" s="2">
        <v>28.0</v>
      </c>
      <c r="B27" s="1" t="s">
        <v>111</v>
      </c>
      <c r="C27" s="2">
        <v>5.70054374039E11</v>
      </c>
      <c r="D27" s="1" t="s">
        <v>112</v>
      </c>
      <c r="E27" s="1" t="s">
        <v>113</v>
      </c>
      <c r="F27" s="1" t="s">
        <v>114</v>
      </c>
      <c r="G27" s="1" t="s">
        <v>12</v>
      </c>
      <c r="H27" s="3" t="s">
        <v>18</v>
      </c>
      <c r="I27" s="1"/>
      <c r="J27" s="4" t="s">
        <v>25</v>
      </c>
      <c r="K27" s="4" t="s">
        <v>19</v>
      </c>
      <c r="L27" s="4" t="s">
        <v>26</v>
      </c>
    </row>
    <row r="28" ht="15.75" customHeight="1">
      <c r="A28" s="2">
        <v>29.0</v>
      </c>
      <c r="B28" s="1" t="s">
        <v>115</v>
      </c>
      <c r="C28" s="2">
        <v>5.7005437404E11</v>
      </c>
      <c r="D28" s="1" t="s">
        <v>116</v>
      </c>
      <c r="E28" s="1" t="s">
        <v>117</v>
      </c>
      <c r="F28" s="1" t="s">
        <v>17</v>
      </c>
      <c r="G28" s="1" t="s">
        <v>12</v>
      </c>
      <c r="H28" s="3" t="s">
        <v>18</v>
      </c>
      <c r="I28" s="1"/>
      <c r="J28" s="4" t="s">
        <v>25</v>
      </c>
      <c r="K28" s="4" t="s">
        <v>19</v>
      </c>
      <c r="L28" s="4" t="s">
        <v>26</v>
      </c>
    </row>
    <row r="29" ht="15.75" customHeight="1">
      <c r="A29" s="2">
        <v>30.0</v>
      </c>
      <c r="B29" s="1" t="s">
        <v>118</v>
      </c>
      <c r="C29" s="2">
        <v>5.7005437405E11</v>
      </c>
      <c r="D29" s="1" t="s">
        <v>119</v>
      </c>
      <c r="E29" s="1" t="s">
        <v>120</v>
      </c>
      <c r="F29" s="1" t="s">
        <v>121</v>
      </c>
      <c r="G29" s="1" t="s">
        <v>12</v>
      </c>
      <c r="H29" s="3" t="s">
        <v>18</v>
      </c>
      <c r="I29" s="1"/>
      <c r="J29" s="4" t="s">
        <v>25</v>
      </c>
      <c r="K29" s="4" t="s">
        <v>19</v>
      </c>
      <c r="L29" s="4" t="s">
        <v>26</v>
      </c>
    </row>
    <row r="30" ht="15.75" customHeight="1">
      <c r="A30" s="2">
        <v>31.0</v>
      </c>
      <c r="B30" s="1" t="s">
        <v>122</v>
      </c>
      <c r="C30" s="2">
        <v>5.70054374055E11</v>
      </c>
      <c r="D30" s="1" t="s">
        <v>123</v>
      </c>
      <c r="E30" s="1" t="s">
        <v>91</v>
      </c>
      <c r="F30" s="1" t="s">
        <v>124</v>
      </c>
      <c r="G30" s="1" t="s">
        <v>12</v>
      </c>
      <c r="H30" s="3" t="s">
        <v>18</v>
      </c>
      <c r="I30" s="1"/>
      <c r="J30" s="4" t="s">
        <v>25</v>
      </c>
      <c r="K30" s="4" t="s">
        <v>19</v>
      </c>
      <c r="L30" s="4" t="s">
        <v>26</v>
      </c>
    </row>
    <row r="31" ht="15.75" customHeight="1">
      <c r="A31" s="2">
        <v>32.0</v>
      </c>
      <c r="B31" s="1" t="s">
        <v>125</v>
      </c>
      <c r="C31" s="2">
        <v>5.70054374056E11</v>
      </c>
      <c r="D31" s="1" t="s">
        <v>126</v>
      </c>
      <c r="E31" s="1" t="s">
        <v>127</v>
      </c>
      <c r="F31" s="1" t="s">
        <v>128</v>
      </c>
      <c r="G31" s="1" t="s">
        <v>12</v>
      </c>
      <c r="H31" s="3" t="s">
        <v>18</v>
      </c>
      <c r="I31" s="1"/>
      <c r="J31" s="4" t="s">
        <v>25</v>
      </c>
      <c r="K31" s="4" t="s">
        <v>19</v>
      </c>
      <c r="L31" s="4" t="s">
        <v>26</v>
      </c>
    </row>
    <row r="32" ht="15.75" customHeight="1">
      <c r="A32" s="2">
        <v>33.0</v>
      </c>
      <c r="B32" s="1" t="s">
        <v>129</v>
      </c>
      <c r="C32" s="2">
        <v>5.70054374057E11</v>
      </c>
      <c r="D32" s="1" t="s">
        <v>130</v>
      </c>
      <c r="E32" s="1" t="s">
        <v>131</v>
      </c>
      <c r="F32" s="1" t="s">
        <v>132</v>
      </c>
      <c r="G32" s="1" t="s">
        <v>12</v>
      </c>
      <c r="H32" s="3" t="s">
        <v>18</v>
      </c>
      <c r="I32" s="1"/>
      <c r="J32" s="4" t="s">
        <v>25</v>
      </c>
      <c r="K32" s="4" t="s">
        <v>19</v>
      </c>
      <c r="L32" s="4" t="s">
        <v>26</v>
      </c>
    </row>
    <row r="33" ht="15.75" customHeight="1">
      <c r="A33" s="2">
        <v>34.0</v>
      </c>
      <c r="B33" s="1" t="s">
        <v>133</v>
      </c>
      <c r="C33" s="2">
        <v>5.70054374058E11</v>
      </c>
      <c r="D33" s="1" t="s">
        <v>134</v>
      </c>
      <c r="E33" s="1" t="s">
        <v>135</v>
      </c>
      <c r="F33" s="1" t="s">
        <v>46</v>
      </c>
      <c r="G33" s="1" t="s">
        <v>12</v>
      </c>
      <c r="H33" s="3" t="s">
        <v>18</v>
      </c>
      <c r="I33" s="1"/>
      <c r="J33" s="4" t="s">
        <v>25</v>
      </c>
      <c r="K33" s="4" t="s">
        <v>19</v>
      </c>
      <c r="L33" s="4" t="s">
        <v>26</v>
      </c>
    </row>
    <row r="34" ht="15.75" customHeight="1">
      <c r="A34" s="2">
        <v>35.0</v>
      </c>
      <c r="B34" s="1" t="s">
        <v>136</v>
      </c>
      <c r="C34" s="2">
        <v>5.70054374059E11</v>
      </c>
      <c r="D34" s="1" t="s">
        <v>137</v>
      </c>
      <c r="E34" s="1" t="s">
        <v>138</v>
      </c>
      <c r="F34" s="1" t="s">
        <v>106</v>
      </c>
      <c r="G34" s="1" t="s">
        <v>12</v>
      </c>
      <c r="H34" s="3" t="s">
        <v>18</v>
      </c>
      <c r="I34" s="1"/>
      <c r="J34" s="4" t="s">
        <v>25</v>
      </c>
      <c r="K34" s="4" t="s">
        <v>19</v>
      </c>
      <c r="L34" s="4" t="s">
        <v>26</v>
      </c>
    </row>
    <row r="35" ht="15.75" customHeight="1">
      <c r="A35" s="2">
        <v>36.0</v>
      </c>
      <c r="B35" s="1" t="s">
        <v>139</v>
      </c>
      <c r="C35" s="2">
        <v>5.7005437406E11</v>
      </c>
      <c r="D35" s="1" t="s">
        <v>140</v>
      </c>
      <c r="E35" s="1" t="s">
        <v>141</v>
      </c>
      <c r="F35" s="1" t="s">
        <v>142</v>
      </c>
      <c r="G35" s="1" t="s">
        <v>12</v>
      </c>
      <c r="H35" s="3" t="s">
        <v>18</v>
      </c>
      <c r="I35" s="1"/>
      <c r="J35" s="4" t="s">
        <v>25</v>
      </c>
      <c r="K35" s="4" t="s">
        <v>19</v>
      </c>
      <c r="L35" s="4" t="s">
        <v>26</v>
      </c>
    </row>
    <row r="36" ht="15.75" customHeight="1">
      <c r="A36" s="2">
        <v>37.0</v>
      </c>
      <c r="B36" s="1" t="s">
        <v>143</v>
      </c>
      <c r="C36" s="2">
        <v>5.70054374061E11</v>
      </c>
      <c r="D36" s="1" t="s">
        <v>144</v>
      </c>
      <c r="E36" s="1" t="s">
        <v>145</v>
      </c>
      <c r="F36" s="1" t="s">
        <v>146</v>
      </c>
      <c r="G36" s="1" t="s">
        <v>12</v>
      </c>
      <c r="H36" s="3" t="s">
        <v>18</v>
      </c>
      <c r="I36" s="1"/>
      <c r="J36" s="4" t="s">
        <v>25</v>
      </c>
      <c r="K36" s="4" t="s">
        <v>19</v>
      </c>
      <c r="L36" s="4" t="s">
        <v>26</v>
      </c>
    </row>
    <row r="37" ht="15.75" customHeight="1">
      <c r="A37" s="2">
        <v>38.0</v>
      </c>
      <c r="B37" s="1" t="s">
        <v>147</v>
      </c>
      <c r="C37" s="2">
        <v>5.70054374062E11</v>
      </c>
      <c r="D37" s="1" t="s">
        <v>148</v>
      </c>
      <c r="E37" s="1" t="s">
        <v>149</v>
      </c>
      <c r="F37" s="1" t="s">
        <v>150</v>
      </c>
      <c r="G37" s="1" t="s">
        <v>12</v>
      </c>
      <c r="H37" s="3" t="s">
        <v>18</v>
      </c>
      <c r="I37" s="1"/>
      <c r="J37" s="4" t="s">
        <v>25</v>
      </c>
      <c r="K37" s="4" t="s">
        <v>19</v>
      </c>
      <c r="L37" s="4" t="s">
        <v>26</v>
      </c>
    </row>
    <row r="38" ht="15.75" customHeight="1">
      <c r="A38" s="2">
        <v>39.0</v>
      </c>
      <c r="B38" s="1" t="s">
        <v>151</v>
      </c>
      <c r="C38" s="2">
        <v>5.70054374064E11</v>
      </c>
      <c r="D38" s="1" t="s">
        <v>152</v>
      </c>
      <c r="E38" s="1" t="s">
        <v>136</v>
      </c>
      <c r="F38" s="1" t="s">
        <v>153</v>
      </c>
      <c r="G38" s="1" t="s">
        <v>12</v>
      </c>
      <c r="H38" s="3" t="s">
        <v>18</v>
      </c>
      <c r="I38" s="1"/>
      <c r="J38" s="4" t="s">
        <v>25</v>
      </c>
      <c r="K38" s="4" t="s">
        <v>19</v>
      </c>
      <c r="L38" s="4" t="s">
        <v>26</v>
      </c>
    </row>
    <row r="39" ht="15.75" customHeight="1">
      <c r="A39" s="2">
        <v>40.0</v>
      </c>
      <c r="B39" s="1" t="s">
        <v>59</v>
      </c>
      <c r="C39" s="2">
        <v>5.70054374065E11</v>
      </c>
      <c r="D39" s="1" t="s">
        <v>154</v>
      </c>
      <c r="E39" s="1" t="s">
        <v>57</v>
      </c>
      <c r="F39" s="1" t="s">
        <v>155</v>
      </c>
      <c r="G39" s="1" t="s">
        <v>12</v>
      </c>
      <c r="H39" s="3" t="s">
        <v>18</v>
      </c>
      <c r="I39" s="1"/>
      <c r="J39" s="4" t="s">
        <v>25</v>
      </c>
      <c r="K39" s="4" t="s">
        <v>19</v>
      </c>
      <c r="L39" s="4" t="s">
        <v>26</v>
      </c>
    </row>
    <row r="40" ht="15.75" customHeight="1">
      <c r="A40" s="2">
        <v>41.0</v>
      </c>
      <c r="B40" s="1" t="s">
        <v>136</v>
      </c>
      <c r="C40" s="2">
        <v>5.70054374067E11</v>
      </c>
      <c r="D40" s="1" t="s">
        <v>156</v>
      </c>
      <c r="E40" s="1" t="s">
        <v>138</v>
      </c>
      <c r="F40" s="1" t="s">
        <v>157</v>
      </c>
      <c r="G40" s="1" t="s">
        <v>12</v>
      </c>
      <c r="H40" s="3" t="s">
        <v>18</v>
      </c>
      <c r="I40" s="1"/>
      <c r="J40" s="4" t="s">
        <v>25</v>
      </c>
      <c r="K40" s="4" t="s">
        <v>19</v>
      </c>
      <c r="L40" s="4" t="s">
        <v>26</v>
      </c>
    </row>
    <row r="41" ht="15.75" customHeight="1">
      <c r="A41" s="2">
        <v>42.0</v>
      </c>
      <c r="B41" s="1" t="s">
        <v>122</v>
      </c>
      <c r="C41" s="2">
        <v>5.70054374068E11</v>
      </c>
      <c r="D41" s="1" t="s">
        <v>158</v>
      </c>
      <c r="E41" s="1" t="s">
        <v>159</v>
      </c>
      <c r="F41" s="1" t="s">
        <v>34</v>
      </c>
      <c r="G41" s="1" t="s">
        <v>12</v>
      </c>
      <c r="H41" s="3" t="s">
        <v>18</v>
      </c>
      <c r="I41" s="1"/>
      <c r="J41" s="4" t="s">
        <v>25</v>
      </c>
      <c r="K41" s="4" t="s">
        <v>19</v>
      </c>
      <c r="L41" s="4" t="s">
        <v>26</v>
      </c>
    </row>
    <row r="42" ht="15.75" customHeight="1">
      <c r="A42" s="2">
        <v>43.0</v>
      </c>
      <c r="B42" s="1" t="s">
        <v>160</v>
      </c>
      <c r="C42" s="2">
        <v>5.70054374069E11</v>
      </c>
      <c r="D42" s="1" t="s">
        <v>161</v>
      </c>
      <c r="E42" s="1" t="s">
        <v>162</v>
      </c>
      <c r="F42" s="1" t="s">
        <v>163</v>
      </c>
      <c r="G42" s="1" t="s">
        <v>12</v>
      </c>
      <c r="H42" s="3" t="s">
        <v>18</v>
      </c>
      <c r="I42" s="1"/>
      <c r="J42" s="4" t="s">
        <v>25</v>
      </c>
      <c r="K42" s="4" t="s">
        <v>19</v>
      </c>
      <c r="L42" s="4" t="s">
        <v>26</v>
      </c>
    </row>
    <row r="43" ht="15.75" customHeight="1">
      <c r="A43" s="2">
        <v>44.0</v>
      </c>
      <c r="B43" s="1" t="s">
        <v>164</v>
      </c>
      <c r="C43" s="2">
        <v>5.70054374072E11</v>
      </c>
      <c r="D43" s="1" t="s">
        <v>165</v>
      </c>
      <c r="E43" s="1" t="s">
        <v>76</v>
      </c>
      <c r="F43" s="1" t="s">
        <v>166</v>
      </c>
      <c r="G43" s="1" t="s">
        <v>12</v>
      </c>
      <c r="H43" s="3" t="s">
        <v>18</v>
      </c>
      <c r="I43" s="1"/>
      <c r="J43" s="4" t="s">
        <v>25</v>
      </c>
      <c r="K43" s="4" t="s">
        <v>19</v>
      </c>
      <c r="L43" s="4" t="s">
        <v>26</v>
      </c>
    </row>
    <row r="44" ht="15.75" customHeight="1">
      <c r="A44" s="2">
        <v>45.0</v>
      </c>
      <c r="B44" s="1" t="s">
        <v>167</v>
      </c>
      <c r="C44" s="2">
        <v>5.70054374073E11</v>
      </c>
      <c r="D44" s="1" t="s">
        <v>168</v>
      </c>
      <c r="E44" s="1" t="s">
        <v>21</v>
      </c>
      <c r="F44" s="1" t="s">
        <v>169</v>
      </c>
      <c r="G44" s="1" t="s">
        <v>12</v>
      </c>
      <c r="H44" s="3" t="s">
        <v>18</v>
      </c>
      <c r="I44" s="1"/>
      <c r="J44" s="4" t="s">
        <v>25</v>
      </c>
      <c r="K44" s="4" t="s">
        <v>19</v>
      </c>
      <c r="L44" s="4" t="s">
        <v>26</v>
      </c>
    </row>
    <row r="45" ht="15.75" customHeight="1">
      <c r="A45" s="2">
        <v>46.0</v>
      </c>
      <c r="B45" s="1" t="s">
        <v>170</v>
      </c>
      <c r="C45" s="2">
        <v>5.70054374074E11</v>
      </c>
      <c r="D45" s="1" t="s">
        <v>171</v>
      </c>
      <c r="E45" s="1" t="s">
        <v>172</v>
      </c>
      <c r="F45" s="1" t="s">
        <v>173</v>
      </c>
      <c r="G45" s="1" t="s">
        <v>12</v>
      </c>
      <c r="H45" s="3" t="s">
        <v>18</v>
      </c>
      <c r="I45" s="1"/>
      <c r="J45" s="4" t="s">
        <v>25</v>
      </c>
      <c r="K45" s="4" t="s">
        <v>19</v>
      </c>
      <c r="L45" s="4" t="s">
        <v>26</v>
      </c>
    </row>
    <row r="46" ht="15.75" customHeight="1">
      <c r="A46" s="2">
        <v>47.0</v>
      </c>
      <c r="B46" s="1" t="s">
        <v>174</v>
      </c>
      <c r="C46" s="2">
        <v>5.70054374077E11</v>
      </c>
      <c r="D46" s="1" t="s">
        <v>175</v>
      </c>
      <c r="E46" s="1" t="s">
        <v>176</v>
      </c>
      <c r="F46" s="1" t="s">
        <v>177</v>
      </c>
      <c r="G46" s="1" t="s">
        <v>12</v>
      </c>
      <c r="H46" s="3" t="s">
        <v>18</v>
      </c>
      <c r="I46" s="1"/>
      <c r="J46" s="4" t="s">
        <v>25</v>
      </c>
      <c r="K46" s="4" t="s">
        <v>19</v>
      </c>
      <c r="L46" s="4" t="s">
        <v>26</v>
      </c>
    </row>
    <row r="47" ht="15.75" customHeight="1">
      <c r="A47" s="2">
        <v>48.0</v>
      </c>
      <c r="B47" s="1" t="s">
        <v>178</v>
      </c>
      <c r="C47" s="2">
        <v>5.70054374079E11</v>
      </c>
      <c r="D47" s="1" t="s">
        <v>179</v>
      </c>
      <c r="E47" s="1" t="s">
        <v>180</v>
      </c>
      <c r="F47" s="1" t="s">
        <v>181</v>
      </c>
      <c r="G47" s="1" t="s">
        <v>12</v>
      </c>
      <c r="H47" s="3" t="s">
        <v>18</v>
      </c>
      <c r="I47" s="1"/>
      <c r="J47" s="4" t="s">
        <v>25</v>
      </c>
      <c r="K47" s="4" t="s">
        <v>19</v>
      </c>
      <c r="L47" s="4" t="s">
        <v>26</v>
      </c>
    </row>
    <row r="48" ht="15.75" customHeight="1">
      <c r="A48" s="2">
        <v>49.0</v>
      </c>
      <c r="B48" s="1" t="s">
        <v>151</v>
      </c>
      <c r="C48" s="2">
        <v>5.70054374081E11</v>
      </c>
      <c r="D48" s="1" t="s">
        <v>182</v>
      </c>
      <c r="E48" s="1" t="s">
        <v>183</v>
      </c>
      <c r="F48" s="1" t="s">
        <v>184</v>
      </c>
      <c r="G48" s="1" t="s">
        <v>12</v>
      </c>
      <c r="H48" s="3" t="s">
        <v>18</v>
      </c>
      <c r="I48" s="1"/>
      <c r="J48" s="4" t="s">
        <v>25</v>
      </c>
      <c r="K48" s="4" t="s">
        <v>19</v>
      </c>
      <c r="L48" s="4" t="s">
        <v>26</v>
      </c>
    </row>
    <row r="49" ht="15.75" customHeight="1">
      <c r="A49" s="2">
        <v>50.0</v>
      </c>
      <c r="B49" s="1" t="s">
        <v>185</v>
      </c>
      <c r="C49" s="2">
        <v>5.70054374083E11</v>
      </c>
      <c r="D49" s="1" t="s">
        <v>186</v>
      </c>
      <c r="E49" s="1" t="s">
        <v>187</v>
      </c>
      <c r="F49" s="1" t="s">
        <v>124</v>
      </c>
      <c r="G49" s="1" t="s">
        <v>12</v>
      </c>
      <c r="H49" s="3" t="s">
        <v>18</v>
      </c>
      <c r="I49" s="1"/>
      <c r="J49" s="4" t="s">
        <v>25</v>
      </c>
      <c r="K49" s="4" t="s">
        <v>19</v>
      </c>
      <c r="L49" s="4" t="s">
        <v>26</v>
      </c>
    </row>
    <row r="50" ht="15.75" customHeight="1">
      <c r="A50" s="2">
        <v>51.0</v>
      </c>
      <c r="B50" s="1" t="s">
        <v>188</v>
      </c>
      <c r="C50" s="2">
        <v>5.70054374084E11</v>
      </c>
      <c r="D50" s="1" t="s">
        <v>189</v>
      </c>
      <c r="E50" s="1" t="s">
        <v>190</v>
      </c>
      <c r="F50" s="1" t="s">
        <v>191</v>
      </c>
      <c r="G50" s="1" t="s">
        <v>12</v>
      </c>
      <c r="H50" s="3" t="s">
        <v>18</v>
      </c>
      <c r="I50" s="1"/>
      <c r="J50" s="4" t="s">
        <v>25</v>
      </c>
      <c r="K50" s="4" t="s">
        <v>19</v>
      </c>
      <c r="L50" s="4" t="s">
        <v>26</v>
      </c>
    </row>
    <row r="51" ht="15.75" customHeight="1">
      <c r="A51" s="2">
        <v>52.0</v>
      </c>
      <c r="B51" s="1" t="s">
        <v>192</v>
      </c>
      <c r="C51" s="2">
        <v>5.70054374087E11</v>
      </c>
      <c r="D51" s="1" t="s">
        <v>193</v>
      </c>
      <c r="E51" s="1" t="s">
        <v>138</v>
      </c>
      <c r="F51" s="1" t="s">
        <v>132</v>
      </c>
      <c r="G51" s="1" t="s">
        <v>12</v>
      </c>
      <c r="H51" s="3" t="s">
        <v>18</v>
      </c>
      <c r="I51" s="1"/>
      <c r="J51" s="4" t="s">
        <v>25</v>
      </c>
      <c r="K51" s="4" t="s">
        <v>19</v>
      </c>
      <c r="L51" s="4" t="s">
        <v>26</v>
      </c>
    </row>
    <row r="52" ht="15.75" customHeight="1">
      <c r="A52" s="2">
        <v>53.0</v>
      </c>
      <c r="B52" s="1" t="s">
        <v>160</v>
      </c>
      <c r="C52" s="2">
        <v>5.70054374088E11</v>
      </c>
      <c r="D52" s="1" t="s">
        <v>194</v>
      </c>
      <c r="E52" s="1" t="s">
        <v>195</v>
      </c>
      <c r="F52" s="1" t="s">
        <v>196</v>
      </c>
      <c r="G52" s="1" t="s">
        <v>12</v>
      </c>
      <c r="H52" s="3" t="s">
        <v>18</v>
      </c>
      <c r="I52" s="1"/>
      <c r="J52" s="4" t="s">
        <v>25</v>
      </c>
      <c r="K52" s="4" t="s">
        <v>19</v>
      </c>
      <c r="L52" s="4" t="s">
        <v>26</v>
      </c>
    </row>
    <row r="53" ht="15.75" customHeight="1">
      <c r="A53" s="2">
        <v>54.0</v>
      </c>
      <c r="B53" s="1" t="s">
        <v>197</v>
      </c>
      <c r="C53" s="2">
        <v>5.7005437409E11</v>
      </c>
      <c r="D53" s="1" t="s">
        <v>198</v>
      </c>
      <c r="E53" s="1" t="s">
        <v>199</v>
      </c>
      <c r="F53" s="1" t="s">
        <v>200</v>
      </c>
      <c r="G53" s="1" t="s">
        <v>12</v>
      </c>
      <c r="H53" s="3" t="s">
        <v>18</v>
      </c>
      <c r="I53" s="1"/>
      <c r="J53" s="4" t="s">
        <v>25</v>
      </c>
      <c r="K53" s="4" t="s">
        <v>19</v>
      </c>
      <c r="L53" s="4" t="s">
        <v>26</v>
      </c>
    </row>
    <row r="54" ht="15.75" customHeight="1">
      <c r="A54" s="2">
        <v>55.0</v>
      </c>
      <c r="B54" s="1" t="s">
        <v>201</v>
      </c>
      <c r="C54" s="2">
        <v>5.70054374092E11</v>
      </c>
      <c r="D54" s="1" t="s">
        <v>202</v>
      </c>
      <c r="E54" s="1" t="s">
        <v>167</v>
      </c>
      <c r="F54" s="1" t="s">
        <v>203</v>
      </c>
      <c r="G54" s="1" t="s">
        <v>12</v>
      </c>
      <c r="H54" s="3" t="s">
        <v>18</v>
      </c>
      <c r="I54" s="1"/>
      <c r="J54" s="4" t="s">
        <v>25</v>
      </c>
      <c r="K54" s="4" t="s">
        <v>19</v>
      </c>
      <c r="L54" s="4" t="s">
        <v>26</v>
      </c>
    </row>
    <row r="55" ht="15.75" customHeight="1">
      <c r="A55" s="2">
        <v>56.0</v>
      </c>
      <c r="B55" s="1" t="s">
        <v>204</v>
      </c>
      <c r="C55" s="2">
        <v>5.70054374095E11</v>
      </c>
      <c r="D55" s="1" t="s">
        <v>205</v>
      </c>
      <c r="E55" s="1" t="s">
        <v>206</v>
      </c>
      <c r="F55" s="1" t="s">
        <v>203</v>
      </c>
      <c r="G55" s="1" t="s">
        <v>12</v>
      </c>
      <c r="H55" s="3" t="s">
        <v>18</v>
      </c>
      <c r="I55" s="1"/>
      <c r="J55" s="4" t="s">
        <v>25</v>
      </c>
      <c r="K55" s="4" t="s">
        <v>19</v>
      </c>
      <c r="L55" s="4" t="s">
        <v>26</v>
      </c>
    </row>
    <row r="56" ht="15.75" customHeight="1">
      <c r="A56" s="2">
        <v>57.0</v>
      </c>
      <c r="B56" s="1" t="s">
        <v>207</v>
      </c>
      <c r="C56" s="2">
        <v>5.70054374099E11</v>
      </c>
      <c r="D56" s="1" t="s">
        <v>208</v>
      </c>
      <c r="E56" s="1" t="s">
        <v>149</v>
      </c>
      <c r="F56" s="1" t="s">
        <v>209</v>
      </c>
      <c r="G56" s="1" t="s">
        <v>12</v>
      </c>
      <c r="H56" s="3" t="s">
        <v>18</v>
      </c>
      <c r="I56" s="1"/>
      <c r="J56" s="4" t="s">
        <v>25</v>
      </c>
      <c r="K56" s="4" t="s">
        <v>19</v>
      </c>
      <c r="L56" s="4" t="s">
        <v>26</v>
      </c>
    </row>
    <row r="57" ht="15.75" customHeight="1">
      <c r="A57" s="2">
        <v>58.0</v>
      </c>
      <c r="B57" s="1" t="s">
        <v>55</v>
      </c>
      <c r="C57" s="2">
        <v>5.70054374101E11</v>
      </c>
      <c r="D57" s="1" t="s">
        <v>210</v>
      </c>
      <c r="E57" s="1" t="s">
        <v>211</v>
      </c>
      <c r="F57" s="1" t="s">
        <v>212</v>
      </c>
      <c r="G57" s="1" t="s">
        <v>12</v>
      </c>
      <c r="H57" s="3" t="s">
        <v>18</v>
      </c>
      <c r="I57" s="1"/>
      <c r="J57" s="4" t="s">
        <v>25</v>
      </c>
      <c r="K57" s="4" t="s">
        <v>19</v>
      </c>
      <c r="L57" s="4" t="s">
        <v>26</v>
      </c>
    </row>
    <row r="58" ht="15.75" customHeight="1">
      <c r="A58" s="2">
        <v>59.0</v>
      </c>
      <c r="B58" s="1" t="s">
        <v>213</v>
      </c>
      <c r="C58" s="2">
        <v>5.70054374103E11</v>
      </c>
      <c r="D58" s="1" t="s">
        <v>214</v>
      </c>
      <c r="E58" s="1" t="s">
        <v>215</v>
      </c>
      <c r="F58" s="1" t="s">
        <v>216</v>
      </c>
      <c r="G58" s="1" t="s">
        <v>12</v>
      </c>
      <c r="H58" s="3" t="s">
        <v>18</v>
      </c>
      <c r="I58" s="1"/>
      <c r="J58" s="4" t="s">
        <v>25</v>
      </c>
      <c r="K58" s="4" t="s">
        <v>19</v>
      </c>
      <c r="L58" s="4" t="s">
        <v>26</v>
      </c>
    </row>
    <row r="59" ht="15.75" customHeight="1">
      <c r="A59" s="2">
        <v>60.0</v>
      </c>
      <c r="B59" s="1" t="s">
        <v>217</v>
      </c>
      <c r="C59" s="2">
        <v>5.70054374104E11</v>
      </c>
      <c r="D59" s="1" t="s">
        <v>218</v>
      </c>
      <c r="E59" s="1" t="s">
        <v>219</v>
      </c>
      <c r="F59" s="1" t="s">
        <v>220</v>
      </c>
      <c r="G59" s="1" t="s">
        <v>12</v>
      </c>
      <c r="H59" s="3" t="s">
        <v>18</v>
      </c>
      <c r="I59" s="1"/>
      <c r="J59" s="4" t="s">
        <v>25</v>
      </c>
      <c r="K59" s="4" t="s">
        <v>19</v>
      </c>
      <c r="L59" s="4" t="s">
        <v>26</v>
      </c>
    </row>
    <row r="60" ht="15.75" customHeight="1">
      <c r="A60" s="2">
        <v>61.0</v>
      </c>
      <c r="B60" s="1" t="s">
        <v>221</v>
      </c>
      <c r="C60" s="2">
        <v>5.70054374105E11</v>
      </c>
      <c r="D60" s="1" t="s">
        <v>222</v>
      </c>
      <c r="E60" s="1" t="s">
        <v>115</v>
      </c>
      <c r="F60" s="1" t="s">
        <v>223</v>
      </c>
      <c r="G60" s="1" t="s">
        <v>12</v>
      </c>
      <c r="H60" s="3" t="s">
        <v>18</v>
      </c>
      <c r="I60" s="1"/>
      <c r="J60" s="4" t="s">
        <v>25</v>
      </c>
      <c r="K60" s="4" t="s">
        <v>19</v>
      </c>
      <c r="L60" s="4" t="s">
        <v>26</v>
      </c>
    </row>
    <row r="61" ht="15.75" customHeight="1">
      <c r="A61" s="2">
        <v>62.0</v>
      </c>
      <c r="B61" s="1" t="s">
        <v>224</v>
      </c>
      <c r="C61" s="2">
        <v>5.70054374107E11</v>
      </c>
      <c r="D61" s="1" t="s">
        <v>225</v>
      </c>
      <c r="E61" s="1" t="s">
        <v>226</v>
      </c>
      <c r="F61" s="1" t="s">
        <v>227</v>
      </c>
      <c r="G61" s="1" t="s">
        <v>12</v>
      </c>
      <c r="H61" s="3" t="s">
        <v>18</v>
      </c>
      <c r="I61" s="1"/>
      <c r="J61" s="4" t="s">
        <v>25</v>
      </c>
      <c r="K61" s="4" t="s">
        <v>19</v>
      </c>
      <c r="L61" s="4" t="s">
        <v>26</v>
      </c>
    </row>
    <row r="62" ht="15.75" customHeight="1">
      <c r="A62" s="2">
        <v>64.0</v>
      </c>
      <c r="B62" s="1" t="s">
        <v>197</v>
      </c>
      <c r="C62" s="2">
        <v>5.7005437411E11</v>
      </c>
      <c r="D62" s="1" t="s">
        <v>228</v>
      </c>
      <c r="E62" s="1" t="s">
        <v>229</v>
      </c>
      <c r="F62" s="1" t="s">
        <v>230</v>
      </c>
      <c r="G62" s="1" t="s">
        <v>12</v>
      </c>
      <c r="H62" s="3" t="s">
        <v>18</v>
      </c>
      <c r="I62" s="1"/>
      <c r="J62" s="4" t="s">
        <v>25</v>
      </c>
      <c r="K62" s="4" t="s">
        <v>19</v>
      </c>
      <c r="L62" s="4" t="s">
        <v>26</v>
      </c>
    </row>
    <row r="63" ht="15.75" customHeight="1">
      <c r="A63" s="2">
        <v>65.0</v>
      </c>
      <c r="B63" s="1" t="s">
        <v>231</v>
      </c>
      <c r="C63" s="2">
        <v>5.70054374111E11</v>
      </c>
      <c r="D63" s="1" t="s">
        <v>232</v>
      </c>
      <c r="E63" s="1" t="s">
        <v>233</v>
      </c>
      <c r="F63" s="1" t="s">
        <v>234</v>
      </c>
      <c r="G63" s="1" t="s">
        <v>12</v>
      </c>
      <c r="H63" s="3" t="s">
        <v>18</v>
      </c>
      <c r="I63" s="1"/>
      <c r="J63" s="4" t="s">
        <v>25</v>
      </c>
      <c r="K63" s="4" t="s">
        <v>19</v>
      </c>
      <c r="L63" s="4" t="s">
        <v>26</v>
      </c>
    </row>
    <row r="64" ht="15.75" customHeight="1">
      <c r="A64" s="2">
        <v>66.0</v>
      </c>
      <c r="B64" s="1" t="s">
        <v>235</v>
      </c>
      <c r="C64" s="2">
        <v>5.70054374112E11</v>
      </c>
      <c r="D64" s="1" t="s">
        <v>236</v>
      </c>
      <c r="E64" s="1" t="s">
        <v>237</v>
      </c>
      <c r="F64" s="1" t="s">
        <v>238</v>
      </c>
      <c r="G64" s="1" t="s">
        <v>12</v>
      </c>
      <c r="H64" s="3" t="s">
        <v>18</v>
      </c>
      <c r="I64" s="1"/>
    </row>
    <row r="65" ht="15.75" customHeight="1">
      <c r="A65" s="2">
        <v>67.0</v>
      </c>
      <c r="B65" s="1" t="s">
        <v>239</v>
      </c>
      <c r="C65" s="2">
        <v>5.70054374113E11</v>
      </c>
      <c r="D65" s="1" t="s">
        <v>240</v>
      </c>
      <c r="E65" s="1" t="s">
        <v>241</v>
      </c>
      <c r="F65" s="1" t="s">
        <v>242</v>
      </c>
      <c r="G65" s="1" t="s">
        <v>12</v>
      </c>
      <c r="H65" s="3" t="s">
        <v>18</v>
      </c>
      <c r="I65" s="1"/>
      <c r="J65" s="4" t="s">
        <v>25</v>
      </c>
      <c r="K65" s="4" t="s">
        <v>19</v>
      </c>
      <c r="L65" s="4" t="s">
        <v>26</v>
      </c>
    </row>
    <row r="66" ht="15.75" customHeight="1">
      <c r="A66" s="2">
        <v>68.0</v>
      </c>
      <c r="B66" s="1" t="s">
        <v>243</v>
      </c>
      <c r="C66" s="2">
        <v>5.70054374114E11</v>
      </c>
      <c r="D66" s="1" t="s">
        <v>244</v>
      </c>
      <c r="E66" s="1" t="s">
        <v>174</v>
      </c>
      <c r="F66" s="1" t="s">
        <v>245</v>
      </c>
      <c r="G66" s="1" t="s">
        <v>12</v>
      </c>
      <c r="H66" s="3" t="s">
        <v>18</v>
      </c>
      <c r="I66" s="1"/>
      <c r="J66" s="4" t="s">
        <v>25</v>
      </c>
      <c r="K66" s="4" t="s">
        <v>19</v>
      </c>
      <c r="L66" s="4" t="s">
        <v>26</v>
      </c>
    </row>
    <row r="67" ht="15.75" customHeight="1">
      <c r="A67" s="2">
        <v>69.0</v>
      </c>
      <c r="B67" s="1" t="s">
        <v>246</v>
      </c>
      <c r="C67" s="2">
        <v>5.70054374115E11</v>
      </c>
      <c r="D67" s="1" t="s">
        <v>247</v>
      </c>
      <c r="E67" s="1" t="s">
        <v>188</v>
      </c>
      <c r="F67" s="1" t="s">
        <v>248</v>
      </c>
      <c r="G67" s="1" t="s">
        <v>12</v>
      </c>
      <c r="H67" s="3" t="s">
        <v>18</v>
      </c>
      <c r="I67" s="1"/>
      <c r="J67" s="4" t="s">
        <v>25</v>
      </c>
      <c r="K67" s="4" t="s">
        <v>19</v>
      </c>
      <c r="L67" s="4" t="s">
        <v>26</v>
      </c>
    </row>
    <row r="68" ht="15.75" customHeight="1">
      <c r="A68" s="2">
        <v>70.0</v>
      </c>
      <c r="B68" s="1" t="s">
        <v>249</v>
      </c>
      <c r="C68" s="2">
        <v>5.70054374116E11</v>
      </c>
      <c r="D68" s="1" t="s">
        <v>250</v>
      </c>
      <c r="E68" s="1" t="s">
        <v>251</v>
      </c>
      <c r="F68" s="1" t="s">
        <v>252</v>
      </c>
      <c r="G68" s="1" t="s">
        <v>12</v>
      </c>
      <c r="H68" s="3" t="s">
        <v>18</v>
      </c>
      <c r="I68" s="1"/>
      <c r="J68" s="4" t="s">
        <v>25</v>
      </c>
      <c r="K68" s="4" t="s">
        <v>19</v>
      </c>
      <c r="L68" s="4" t="s">
        <v>26</v>
      </c>
    </row>
    <row r="69" ht="15.75" customHeight="1">
      <c r="A69" s="2">
        <v>71.0</v>
      </c>
      <c r="B69" s="1" t="s">
        <v>253</v>
      </c>
      <c r="C69" s="2">
        <v>5.70054374122E11</v>
      </c>
      <c r="D69" s="1" t="s">
        <v>254</v>
      </c>
      <c r="E69" s="1" t="s">
        <v>255</v>
      </c>
      <c r="F69" s="1" t="s">
        <v>256</v>
      </c>
      <c r="G69" s="1" t="s">
        <v>12</v>
      </c>
      <c r="H69" s="3" t="s">
        <v>18</v>
      </c>
      <c r="I69" s="1"/>
      <c r="J69" s="4" t="s">
        <v>25</v>
      </c>
      <c r="K69" s="4" t="s">
        <v>19</v>
      </c>
      <c r="L69" s="4" t="s">
        <v>26</v>
      </c>
    </row>
    <row r="70" ht="15.75" customHeight="1">
      <c r="A70" s="2">
        <v>72.0</v>
      </c>
      <c r="B70" s="1" t="s">
        <v>255</v>
      </c>
      <c r="C70" s="2">
        <v>5.70054374123E11</v>
      </c>
      <c r="D70" s="1" t="s">
        <v>257</v>
      </c>
      <c r="E70" s="1" t="s">
        <v>258</v>
      </c>
      <c r="F70" s="1" t="s">
        <v>259</v>
      </c>
      <c r="G70" s="1" t="s">
        <v>12</v>
      </c>
      <c r="H70" s="3" t="s">
        <v>18</v>
      </c>
      <c r="I70" s="1"/>
      <c r="J70" s="4" t="s">
        <v>25</v>
      </c>
      <c r="K70" s="4" t="s">
        <v>19</v>
      </c>
      <c r="L70" s="4" t="s">
        <v>26</v>
      </c>
    </row>
    <row r="71" ht="15.75" customHeight="1">
      <c r="A71" s="2">
        <v>73.0</v>
      </c>
      <c r="B71" s="1" t="s">
        <v>260</v>
      </c>
      <c r="C71" s="2">
        <v>5.70054374124E11</v>
      </c>
      <c r="D71" s="1" t="s">
        <v>261</v>
      </c>
      <c r="E71" s="1" t="s">
        <v>262</v>
      </c>
      <c r="F71" s="1" t="s">
        <v>263</v>
      </c>
      <c r="G71" s="1" t="s">
        <v>12</v>
      </c>
      <c r="H71" s="3" t="s">
        <v>18</v>
      </c>
      <c r="I71" s="1"/>
      <c r="J71" s="4" t="s">
        <v>25</v>
      </c>
      <c r="K71" s="4" t="s">
        <v>19</v>
      </c>
      <c r="L71" s="4" t="s">
        <v>26</v>
      </c>
    </row>
    <row r="72" ht="15.75" customHeight="1">
      <c r="A72" s="2">
        <v>74.0</v>
      </c>
      <c r="B72" s="1" t="s">
        <v>264</v>
      </c>
      <c r="C72" s="2">
        <v>5.70054374126E11</v>
      </c>
      <c r="D72" s="1" t="s">
        <v>265</v>
      </c>
      <c r="E72" s="1" t="s">
        <v>266</v>
      </c>
      <c r="F72" s="1" t="s">
        <v>267</v>
      </c>
      <c r="G72" s="1" t="s">
        <v>12</v>
      </c>
      <c r="H72" s="3" t="s">
        <v>18</v>
      </c>
      <c r="I72" s="1"/>
      <c r="J72" s="4" t="s">
        <v>25</v>
      </c>
      <c r="K72" s="4" t="s">
        <v>19</v>
      </c>
      <c r="L72" s="4" t="s">
        <v>26</v>
      </c>
    </row>
    <row r="73" ht="15.75" customHeight="1">
      <c r="A73" s="2">
        <v>75.0</v>
      </c>
      <c r="B73" s="1" t="s">
        <v>268</v>
      </c>
      <c r="C73" s="2">
        <v>5.70054374127E11</v>
      </c>
      <c r="D73" s="1" t="s">
        <v>269</v>
      </c>
      <c r="E73" s="1" t="s">
        <v>118</v>
      </c>
      <c r="F73" s="1" t="s">
        <v>270</v>
      </c>
      <c r="G73" s="1" t="s">
        <v>12</v>
      </c>
      <c r="H73" s="3" t="s">
        <v>18</v>
      </c>
      <c r="I73" s="1"/>
      <c r="J73" s="4" t="s">
        <v>25</v>
      </c>
      <c r="K73" s="4" t="s">
        <v>19</v>
      </c>
      <c r="L73" s="4" t="s">
        <v>26</v>
      </c>
    </row>
    <row r="74" ht="15.75" customHeight="1">
      <c r="A74" s="2">
        <v>76.0</v>
      </c>
      <c r="B74" s="1" t="s">
        <v>136</v>
      </c>
      <c r="C74" s="2">
        <v>5.70054374128E11</v>
      </c>
      <c r="D74" s="1" t="s">
        <v>271</v>
      </c>
      <c r="E74" s="1" t="s">
        <v>268</v>
      </c>
      <c r="F74" s="1" t="s">
        <v>272</v>
      </c>
      <c r="G74" s="1" t="s">
        <v>12</v>
      </c>
      <c r="H74" s="3" t="s">
        <v>18</v>
      </c>
      <c r="I74" s="1"/>
      <c r="J74" s="4" t="s">
        <v>25</v>
      </c>
      <c r="K74" s="4" t="s">
        <v>19</v>
      </c>
      <c r="L74" s="4" t="s">
        <v>26</v>
      </c>
    </row>
    <row r="75" ht="15.75" customHeight="1">
      <c r="A75" s="2">
        <v>77.0</v>
      </c>
      <c r="B75" s="1" t="s">
        <v>273</v>
      </c>
      <c r="C75" s="2">
        <v>5.70054374129E11</v>
      </c>
      <c r="D75" s="1" t="s">
        <v>274</v>
      </c>
      <c r="E75" s="1" t="s">
        <v>275</v>
      </c>
      <c r="F75" s="1" t="s">
        <v>121</v>
      </c>
      <c r="G75" s="1" t="s">
        <v>12</v>
      </c>
      <c r="H75" s="3" t="s">
        <v>18</v>
      </c>
      <c r="I75" s="1"/>
      <c r="J75" s="4" t="s">
        <v>25</v>
      </c>
      <c r="K75" s="4" t="s">
        <v>19</v>
      </c>
      <c r="L75" s="4" t="s">
        <v>26</v>
      </c>
    </row>
    <row r="76" ht="15.75" customHeight="1">
      <c r="A76" s="2">
        <v>78.0</v>
      </c>
      <c r="B76" s="1" t="s">
        <v>276</v>
      </c>
      <c r="C76" s="2">
        <v>5.70054374131E11</v>
      </c>
      <c r="D76" s="1" t="s">
        <v>277</v>
      </c>
      <c r="E76" s="1" t="s">
        <v>278</v>
      </c>
      <c r="F76" s="1" t="s">
        <v>279</v>
      </c>
      <c r="G76" s="1" t="s">
        <v>12</v>
      </c>
      <c r="H76" s="3" t="s">
        <v>18</v>
      </c>
      <c r="I76" s="1"/>
      <c r="J76" s="4" t="s">
        <v>25</v>
      </c>
      <c r="K76" s="4" t="s">
        <v>19</v>
      </c>
      <c r="L76" s="4" t="s">
        <v>26</v>
      </c>
    </row>
    <row r="77" ht="15.75" customHeight="1">
      <c r="A77" s="2">
        <v>79.0</v>
      </c>
      <c r="B77" s="1" t="s">
        <v>280</v>
      </c>
      <c r="C77" s="2">
        <v>5.70054374134E11</v>
      </c>
      <c r="D77" s="1" t="s">
        <v>271</v>
      </c>
      <c r="E77" s="1" t="s">
        <v>281</v>
      </c>
      <c r="F77" s="1" t="s">
        <v>282</v>
      </c>
      <c r="G77" s="1" t="s">
        <v>12</v>
      </c>
      <c r="H77" s="3" t="s">
        <v>18</v>
      </c>
      <c r="I77" s="1"/>
      <c r="J77" s="4" t="s">
        <v>25</v>
      </c>
      <c r="K77" s="4" t="s">
        <v>19</v>
      </c>
      <c r="L77" s="4" t="s">
        <v>26</v>
      </c>
    </row>
    <row r="78" ht="15.75" customHeight="1">
      <c r="A78" s="2">
        <v>80.0</v>
      </c>
      <c r="B78" s="1" t="s">
        <v>283</v>
      </c>
      <c r="C78" s="2">
        <v>5.70054374135E11</v>
      </c>
      <c r="D78" s="1" t="s">
        <v>284</v>
      </c>
      <c r="E78" s="1" t="s">
        <v>285</v>
      </c>
      <c r="F78" s="1" t="s">
        <v>286</v>
      </c>
      <c r="G78" s="1" t="s">
        <v>12</v>
      </c>
      <c r="H78" s="3" t="s">
        <v>18</v>
      </c>
      <c r="I78" s="1"/>
      <c r="J78" s="4" t="s">
        <v>25</v>
      </c>
      <c r="K78" s="4" t="s">
        <v>19</v>
      </c>
      <c r="L78" s="4" t="s">
        <v>26</v>
      </c>
    </row>
    <row r="79" ht="15.75" customHeight="1">
      <c r="A79" s="2">
        <v>81.0</v>
      </c>
      <c r="B79" s="1" t="s">
        <v>287</v>
      </c>
      <c r="C79" s="2">
        <v>5.70054374137E11</v>
      </c>
      <c r="D79" s="1" t="s">
        <v>288</v>
      </c>
      <c r="E79" s="1" t="s">
        <v>41</v>
      </c>
      <c r="F79" s="1" t="s">
        <v>289</v>
      </c>
      <c r="G79" s="1" t="s">
        <v>12</v>
      </c>
      <c r="H79" s="3" t="s">
        <v>18</v>
      </c>
      <c r="I79" s="1"/>
      <c r="J79" s="4" t="s">
        <v>25</v>
      </c>
      <c r="K79" s="4" t="s">
        <v>19</v>
      </c>
      <c r="L79" s="4" t="s">
        <v>26</v>
      </c>
    </row>
    <row r="80" ht="15.75" customHeight="1">
      <c r="A80" s="2">
        <v>82.0</v>
      </c>
      <c r="B80" s="1" t="s">
        <v>290</v>
      </c>
      <c r="C80" s="2">
        <v>5.70054374138E11</v>
      </c>
      <c r="D80" s="1" t="s">
        <v>291</v>
      </c>
      <c r="E80" s="1" t="s">
        <v>292</v>
      </c>
      <c r="F80" s="1" t="s">
        <v>293</v>
      </c>
      <c r="G80" s="1" t="s">
        <v>12</v>
      </c>
      <c r="H80" s="3" t="s">
        <v>18</v>
      </c>
      <c r="I80" s="1"/>
      <c r="J80" s="4" t="s">
        <v>25</v>
      </c>
      <c r="K80" s="4" t="s">
        <v>19</v>
      </c>
      <c r="L80" s="4" t="s">
        <v>26</v>
      </c>
    </row>
    <row r="81" ht="15.75" customHeight="1">
      <c r="A81" s="2">
        <v>83.0</v>
      </c>
      <c r="B81" s="1" t="s">
        <v>294</v>
      </c>
      <c r="C81" s="2">
        <v>5.70054374139E11</v>
      </c>
      <c r="D81" s="1" t="s">
        <v>295</v>
      </c>
      <c r="E81" s="1" t="s">
        <v>296</v>
      </c>
      <c r="F81" s="1" t="s">
        <v>297</v>
      </c>
      <c r="G81" s="1" t="s">
        <v>12</v>
      </c>
      <c r="H81" s="3" t="s">
        <v>18</v>
      </c>
      <c r="I81" s="1"/>
      <c r="J81" s="4" t="s">
        <v>25</v>
      </c>
      <c r="K81" s="4" t="s">
        <v>19</v>
      </c>
      <c r="L81" s="4" t="s">
        <v>26</v>
      </c>
    </row>
    <row r="82" ht="15.75" customHeight="1">
      <c r="A82" s="2">
        <v>84.0</v>
      </c>
      <c r="B82" s="1" t="s">
        <v>275</v>
      </c>
      <c r="C82" s="2">
        <v>5.7005437414E11</v>
      </c>
      <c r="D82" s="1" t="s">
        <v>298</v>
      </c>
      <c r="E82" s="1" t="s">
        <v>299</v>
      </c>
      <c r="F82" s="1" t="s">
        <v>300</v>
      </c>
      <c r="G82" s="1" t="s">
        <v>12</v>
      </c>
      <c r="H82" s="3" t="s">
        <v>18</v>
      </c>
      <c r="I82" s="1"/>
      <c r="J82" s="4" t="s">
        <v>25</v>
      </c>
      <c r="K82" s="4" t="s">
        <v>19</v>
      </c>
      <c r="L82" s="4" t="s">
        <v>26</v>
      </c>
    </row>
    <row r="83" ht="15.75" customHeight="1">
      <c r="A83" s="2">
        <v>85.0</v>
      </c>
      <c r="B83" s="1" t="s">
        <v>301</v>
      </c>
      <c r="C83" s="2">
        <v>5.70054374141E11</v>
      </c>
      <c r="D83" s="1" t="s">
        <v>302</v>
      </c>
      <c r="E83" s="1" t="s">
        <v>303</v>
      </c>
      <c r="F83" s="1" t="s">
        <v>304</v>
      </c>
      <c r="G83" s="1" t="s">
        <v>12</v>
      </c>
      <c r="H83" s="3" t="s">
        <v>18</v>
      </c>
      <c r="I83" s="1"/>
      <c r="J83" s="4" t="s">
        <v>25</v>
      </c>
      <c r="K83" s="4" t="s">
        <v>19</v>
      </c>
      <c r="L83" s="4" t="s">
        <v>26</v>
      </c>
    </row>
    <row r="84" ht="15.75" customHeight="1">
      <c r="A84" s="2">
        <v>87.0</v>
      </c>
      <c r="B84" s="1" t="s">
        <v>151</v>
      </c>
      <c r="C84" s="2">
        <v>5.70054374146E11</v>
      </c>
      <c r="D84" s="1" t="s">
        <v>305</v>
      </c>
      <c r="E84" s="1" t="s">
        <v>306</v>
      </c>
      <c r="F84" s="1" t="s">
        <v>307</v>
      </c>
      <c r="G84" s="1" t="s">
        <v>12</v>
      </c>
      <c r="H84" s="3" t="s">
        <v>18</v>
      </c>
      <c r="I84" s="1"/>
      <c r="J84" s="4" t="s">
        <v>25</v>
      </c>
      <c r="K84" s="4" t="s">
        <v>19</v>
      </c>
      <c r="L84" s="4" t="s">
        <v>26</v>
      </c>
    </row>
    <row r="85" ht="15.75" customHeight="1">
      <c r="A85" s="2">
        <v>88.0</v>
      </c>
      <c r="B85" s="1" t="s">
        <v>308</v>
      </c>
      <c r="C85" s="2">
        <v>5.70054374148E11</v>
      </c>
      <c r="D85" s="1" t="s">
        <v>309</v>
      </c>
      <c r="E85" s="1" t="s">
        <v>136</v>
      </c>
      <c r="F85" s="1" t="s">
        <v>310</v>
      </c>
      <c r="G85" s="1" t="s">
        <v>12</v>
      </c>
      <c r="H85" s="3" t="s">
        <v>18</v>
      </c>
      <c r="I85" s="1"/>
      <c r="J85" s="4" t="s">
        <v>25</v>
      </c>
      <c r="K85" s="4" t="s">
        <v>19</v>
      </c>
      <c r="L85" s="4" t="s">
        <v>26</v>
      </c>
    </row>
    <row r="86" ht="15.75" customHeight="1">
      <c r="A86" s="2">
        <v>89.0</v>
      </c>
      <c r="B86" s="1" t="s">
        <v>311</v>
      </c>
      <c r="C86" s="2">
        <v>5.7005437415E11</v>
      </c>
      <c r="D86" s="1" t="s">
        <v>312</v>
      </c>
      <c r="E86" s="1" t="s">
        <v>313</v>
      </c>
      <c r="F86" s="1" t="s">
        <v>314</v>
      </c>
      <c r="G86" s="1" t="s">
        <v>12</v>
      </c>
      <c r="H86" s="3" t="s">
        <v>18</v>
      </c>
      <c r="I86" s="1"/>
      <c r="J86" s="4" t="s">
        <v>25</v>
      </c>
      <c r="K86" s="4" t="s">
        <v>19</v>
      </c>
      <c r="L86" s="4" t="s">
        <v>26</v>
      </c>
    </row>
    <row r="87" ht="15.75" customHeight="1">
      <c r="A87" s="2">
        <v>90.0</v>
      </c>
      <c r="B87" s="1" t="s">
        <v>102</v>
      </c>
      <c r="C87" s="2">
        <v>5.70054374151E11</v>
      </c>
      <c r="D87" s="1" t="s">
        <v>315</v>
      </c>
      <c r="E87" s="1" t="s">
        <v>316</v>
      </c>
      <c r="F87" s="1" t="s">
        <v>317</v>
      </c>
      <c r="G87" s="1" t="s">
        <v>12</v>
      </c>
      <c r="H87" s="3" t="s">
        <v>18</v>
      </c>
      <c r="I87" s="1"/>
    </row>
    <row r="88" ht="15.75" customHeight="1">
      <c r="A88" s="2">
        <v>91.0</v>
      </c>
      <c r="B88" s="1" t="s">
        <v>318</v>
      </c>
      <c r="C88" s="2">
        <v>5.70054374153E11</v>
      </c>
      <c r="D88" s="1" t="s">
        <v>319</v>
      </c>
      <c r="E88" s="1" t="s">
        <v>320</v>
      </c>
      <c r="F88" s="1" t="s">
        <v>321</v>
      </c>
      <c r="G88" s="1" t="s">
        <v>12</v>
      </c>
      <c r="H88" s="3" t="s">
        <v>18</v>
      </c>
      <c r="I88" s="1"/>
      <c r="J88" s="4" t="s">
        <v>25</v>
      </c>
      <c r="K88" s="4" t="s">
        <v>19</v>
      </c>
      <c r="L88" s="4" t="s">
        <v>26</v>
      </c>
    </row>
    <row r="89" ht="15.75" customHeight="1">
      <c r="A89" s="2">
        <v>92.0</v>
      </c>
      <c r="B89" s="1" t="s">
        <v>301</v>
      </c>
      <c r="C89" s="2">
        <v>5.70054374155E11</v>
      </c>
      <c r="D89" s="1" t="s">
        <v>322</v>
      </c>
      <c r="E89" s="1" t="s">
        <v>323</v>
      </c>
      <c r="F89" s="1" t="s">
        <v>324</v>
      </c>
      <c r="G89" s="1" t="s">
        <v>12</v>
      </c>
      <c r="H89" s="3" t="s">
        <v>18</v>
      </c>
      <c r="I89" s="1"/>
      <c r="J89" s="4" t="s">
        <v>25</v>
      </c>
      <c r="K89" s="4" t="s">
        <v>19</v>
      </c>
      <c r="L89" s="4" t="s">
        <v>26</v>
      </c>
    </row>
    <row r="90" ht="15.75" customHeight="1">
      <c r="A90" s="2">
        <v>93.0</v>
      </c>
      <c r="B90" s="1" t="s">
        <v>325</v>
      </c>
      <c r="C90" s="2">
        <v>5.70054374158E11</v>
      </c>
      <c r="D90" s="1" t="s">
        <v>326</v>
      </c>
      <c r="E90" s="1" t="s">
        <v>327</v>
      </c>
      <c r="F90" s="1" t="s">
        <v>328</v>
      </c>
      <c r="G90" s="1" t="s">
        <v>12</v>
      </c>
      <c r="H90" s="3" t="s">
        <v>18</v>
      </c>
      <c r="I90" s="1"/>
      <c r="J90" s="4" t="s">
        <v>25</v>
      </c>
      <c r="K90" s="4" t="s">
        <v>19</v>
      </c>
      <c r="L90" s="4" t="s">
        <v>26</v>
      </c>
    </row>
    <row r="91" ht="15.75" customHeight="1">
      <c r="A91" s="2">
        <v>94.0</v>
      </c>
      <c r="B91" s="1" t="s">
        <v>329</v>
      </c>
      <c r="C91" s="2">
        <v>5.70054374159E11</v>
      </c>
      <c r="D91" s="1" t="s">
        <v>330</v>
      </c>
      <c r="E91" s="1" t="s">
        <v>331</v>
      </c>
      <c r="F91" s="1" t="s">
        <v>332</v>
      </c>
      <c r="G91" s="1" t="s">
        <v>12</v>
      </c>
      <c r="H91" s="3" t="s">
        <v>18</v>
      </c>
      <c r="I91" s="1"/>
      <c r="J91" s="4" t="s">
        <v>25</v>
      </c>
      <c r="K91" s="4" t="s">
        <v>19</v>
      </c>
      <c r="L91" s="4" t="s">
        <v>26</v>
      </c>
    </row>
    <row r="92" ht="15.75" customHeight="1">
      <c r="A92" s="2">
        <v>95.0</v>
      </c>
      <c r="B92" s="1" t="s">
        <v>333</v>
      </c>
      <c r="C92" s="2">
        <v>5.70054374161E11</v>
      </c>
      <c r="D92" s="1" t="s">
        <v>334</v>
      </c>
      <c r="E92" s="1" t="s">
        <v>335</v>
      </c>
      <c r="F92" s="1" t="s">
        <v>336</v>
      </c>
      <c r="G92" s="1" t="s">
        <v>12</v>
      </c>
      <c r="H92" s="3" t="s">
        <v>18</v>
      </c>
      <c r="I92" s="1"/>
      <c r="J92" s="4" t="s">
        <v>25</v>
      </c>
      <c r="K92" s="4" t="s">
        <v>19</v>
      </c>
      <c r="L92" s="4" t="s">
        <v>26</v>
      </c>
    </row>
    <row r="93" ht="15.75" customHeight="1">
      <c r="A93" s="2">
        <v>96.0</v>
      </c>
      <c r="B93" s="1" t="s">
        <v>273</v>
      </c>
      <c r="C93" s="2">
        <v>5.70054374162E11</v>
      </c>
      <c r="D93" s="1" t="s">
        <v>337</v>
      </c>
      <c r="E93" s="1" t="s">
        <v>338</v>
      </c>
      <c r="F93" s="1" t="s">
        <v>339</v>
      </c>
      <c r="G93" s="1" t="s">
        <v>12</v>
      </c>
      <c r="H93" s="3" t="s">
        <v>18</v>
      </c>
      <c r="I93" s="1"/>
      <c r="J93" s="4" t="s">
        <v>25</v>
      </c>
      <c r="K93" s="4" t="s">
        <v>19</v>
      </c>
      <c r="L93" s="4" t="s">
        <v>26</v>
      </c>
    </row>
    <row r="94" ht="15.75" customHeight="1">
      <c r="A94" s="2">
        <v>97.0</v>
      </c>
      <c r="B94" s="1" t="s">
        <v>340</v>
      </c>
      <c r="C94" s="2">
        <v>5.70054374165E11</v>
      </c>
      <c r="D94" s="1" t="s">
        <v>341</v>
      </c>
      <c r="E94" s="1" t="s">
        <v>342</v>
      </c>
      <c r="F94" s="1" t="s">
        <v>343</v>
      </c>
      <c r="G94" s="1" t="s">
        <v>12</v>
      </c>
      <c r="H94" s="3" t="s">
        <v>18</v>
      </c>
      <c r="I94" s="1"/>
      <c r="J94" s="4" t="s">
        <v>25</v>
      </c>
      <c r="K94" s="4" t="s">
        <v>19</v>
      </c>
      <c r="L94" s="4" t="s">
        <v>26</v>
      </c>
    </row>
    <row r="95" ht="15.75" customHeight="1">
      <c r="A95" s="2">
        <v>98.0</v>
      </c>
      <c r="B95" s="1" t="s">
        <v>160</v>
      </c>
      <c r="C95" s="2">
        <v>5.70054374167E11</v>
      </c>
      <c r="D95" s="1" t="s">
        <v>344</v>
      </c>
      <c r="E95" s="1" t="s">
        <v>167</v>
      </c>
      <c r="F95" s="1" t="s">
        <v>345</v>
      </c>
      <c r="G95" s="1" t="s">
        <v>12</v>
      </c>
      <c r="H95" s="3" t="s">
        <v>18</v>
      </c>
      <c r="I95" s="1"/>
      <c r="J95" s="4" t="s">
        <v>25</v>
      </c>
      <c r="K95" s="4" t="s">
        <v>19</v>
      </c>
      <c r="L95" s="4" t="s">
        <v>26</v>
      </c>
    </row>
    <row r="96" ht="15.75" customHeight="1">
      <c r="A96" s="2">
        <v>99.0</v>
      </c>
      <c r="B96" s="1" t="s">
        <v>346</v>
      </c>
      <c r="C96" s="2">
        <v>5.70054374169E11</v>
      </c>
      <c r="D96" s="1" t="s">
        <v>347</v>
      </c>
      <c r="E96" s="1" t="s">
        <v>348</v>
      </c>
      <c r="F96" s="1" t="s">
        <v>349</v>
      </c>
      <c r="G96" s="1" t="s">
        <v>12</v>
      </c>
      <c r="H96" s="3" t="s">
        <v>18</v>
      </c>
      <c r="I96" s="1"/>
      <c r="J96" s="4" t="s">
        <v>25</v>
      </c>
      <c r="K96" s="4" t="s">
        <v>19</v>
      </c>
      <c r="L96" s="4" t="s">
        <v>26</v>
      </c>
    </row>
    <row r="97" ht="15.75" customHeight="1">
      <c r="A97" s="2">
        <v>100.0</v>
      </c>
      <c r="B97" s="1" t="s">
        <v>350</v>
      </c>
      <c r="C97" s="2">
        <v>5.70054374171E11</v>
      </c>
      <c r="D97" s="1" t="s">
        <v>351</v>
      </c>
      <c r="E97" s="1" t="s">
        <v>352</v>
      </c>
      <c r="F97" s="1" t="s">
        <v>353</v>
      </c>
      <c r="G97" s="1" t="s">
        <v>12</v>
      </c>
      <c r="H97" s="3" t="s">
        <v>18</v>
      </c>
      <c r="I97" s="1"/>
      <c r="J97" s="4" t="s">
        <v>25</v>
      </c>
      <c r="K97" s="4" t="s">
        <v>19</v>
      </c>
      <c r="L97" s="4" t="s">
        <v>26</v>
      </c>
    </row>
    <row r="98" ht="15.75" customHeight="1">
      <c r="A98" s="2">
        <v>101.0</v>
      </c>
      <c r="B98" s="1" t="s">
        <v>354</v>
      </c>
      <c r="C98" s="2">
        <v>5.70054374172E11</v>
      </c>
      <c r="D98" s="1" t="s">
        <v>355</v>
      </c>
      <c r="E98" s="1" t="s">
        <v>356</v>
      </c>
      <c r="F98" s="1" t="s">
        <v>357</v>
      </c>
      <c r="G98" s="1" t="s">
        <v>12</v>
      </c>
      <c r="H98" s="3" t="s">
        <v>18</v>
      </c>
      <c r="I98" s="1"/>
      <c r="J98" s="4" t="s">
        <v>25</v>
      </c>
      <c r="K98" s="4" t="s">
        <v>19</v>
      </c>
      <c r="L98" s="4" t="s">
        <v>26</v>
      </c>
    </row>
    <row r="99" ht="15.75" customHeight="1">
      <c r="A99" s="2">
        <v>102.0</v>
      </c>
      <c r="B99" s="1" t="s">
        <v>358</v>
      </c>
      <c r="C99" s="2">
        <v>5.70054374173E11</v>
      </c>
      <c r="D99" s="1" t="s">
        <v>359</v>
      </c>
      <c r="E99" s="1" t="s">
        <v>350</v>
      </c>
      <c r="F99" s="1" t="s">
        <v>360</v>
      </c>
      <c r="G99" s="1" t="s">
        <v>12</v>
      </c>
      <c r="H99" s="3" t="s">
        <v>18</v>
      </c>
      <c r="I99" s="1"/>
      <c r="J99" s="4" t="s">
        <v>25</v>
      </c>
      <c r="K99" s="4" t="s">
        <v>19</v>
      </c>
      <c r="L99" s="4" t="s">
        <v>26</v>
      </c>
    </row>
    <row r="100" ht="15.75" customHeight="1">
      <c r="A100" s="2">
        <v>103.0</v>
      </c>
      <c r="B100" s="1" t="s">
        <v>361</v>
      </c>
      <c r="C100" s="2">
        <v>5.70054374174E11</v>
      </c>
      <c r="D100" s="1" t="s">
        <v>362</v>
      </c>
      <c r="E100" s="1" t="s">
        <v>188</v>
      </c>
      <c r="F100" s="1" t="s">
        <v>363</v>
      </c>
      <c r="G100" s="1" t="s">
        <v>12</v>
      </c>
      <c r="H100" s="3" t="s">
        <v>18</v>
      </c>
      <c r="I100" s="1"/>
      <c r="J100" s="4" t="s">
        <v>25</v>
      </c>
      <c r="K100" s="4" t="s">
        <v>19</v>
      </c>
      <c r="L100" s="4" t="s">
        <v>26</v>
      </c>
    </row>
    <row r="101" ht="15.75" customHeight="1">
      <c r="A101" s="2">
        <v>104.0</v>
      </c>
      <c r="B101" s="1" t="s">
        <v>364</v>
      </c>
      <c r="C101" s="2">
        <v>5.70054374177E11</v>
      </c>
      <c r="D101" s="1" t="s">
        <v>365</v>
      </c>
      <c r="E101" s="1" t="s">
        <v>366</v>
      </c>
      <c r="F101" s="1" t="s">
        <v>367</v>
      </c>
      <c r="G101" s="1" t="s">
        <v>12</v>
      </c>
      <c r="H101" s="3" t="s">
        <v>18</v>
      </c>
      <c r="I101" s="1"/>
      <c r="J101" s="4" t="s">
        <v>25</v>
      </c>
      <c r="K101" s="4" t="s">
        <v>19</v>
      </c>
      <c r="L101" s="4" t="s">
        <v>26</v>
      </c>
    </row>
    <row r="102" ht="15.75" customHeight="1">
      <c r="A102" s="2">
        <v>105.0</v>
      </c>
      <c r="B102" s="1" t="s">
        <v>115</v>
      </c>
      <c r="C102" s="2">
        <v>5.70054374178E11</v>
      </c>
      <c r="D102" s="1" t="s">
        <v>368</v>
      </c>
      <c r="E102" s="1" t="s">
        <v>369</v>
      </c>
      <c r="F102" s="1" t="s">
        <v>370</v>
      </c>
      <c r="G102" s="1" t="s">
        <v>12</v>
      </c>
      <c r="H102" s="3" t="s">
        <v>18</v>
      </c>
      <c r="I102" s="1"/>
      <c r="J102" s="4" t="s">
        <v>25</v>
      </c>
      <c r="K102" s="4" t="s">
        <v>19</v>
      </c>
      <c r="L102" s="4" t="s">
        <v>26</v>
      </c>
    </row>
    <row r="103" ht="15.75" customHeight="1">
      <c r="A103" s="2">
        <v>106.0</v>
      </c>
      <c r="B103" s="1" t="s">
        <v>371</v>
      </c>
      <c r="C103" s="2">
        <v>5.70054374179E11</v>
      </c>
      <c r="D103" s="1" t="s">
        <v>372</v>
      </c>
      <c r="E103" s="1" t="s">
        <v>373</v>
      </c>
      <c r="F103" s="1" t="s">
        <v>374</v>
      </c>
      <c r="G103" s="1" t="s">
        <v>12</v>
      </c>
      <c r="H103" s="3" t="s">
        <v>18</v>
      </c>
      <c r="I103" s="1"/>
      <c r="J103" s="4" t="s">
        <v>25</v>
      </c>
      <c r="K103" s="4" t="s">
        <v>19</v>
      </c>
      <c r="L103" s="4" t="s">
        <v>26</v>
      </c>
    </row>
    <row r="104" ht="15.75" customHeight="1">
      <c r="A104" s="2">
        <v>107.0</v>
      </c>
      <c r="B104" s="1" t="s">
        <v>375</v>
      </c>
      <c r="C104" s="2">
        <v>5.7005437418E11</v>
      </c>
      <c r="D104" s="1" t="s">
        <v>376</v>
      </c>
      <c r="E104" s="1" t="s">
        <v>377</v>
      </c>
      <c r="F104" s="1" t="s">
        <v>378</v>
      </c>
      <c r="G104" s="1" t="s">
        <v>12</v>
      </c>
      <c r="H104" s="3" t="s">
        <v>18</v>
      </c>
      <c r="I104" s="1"/>
      <c r="J104" s="4" t="s">
        <v>25</v>
      </c>
      <c r="K104" s="4" t="s">
        <v>19</v>
      </c>
      <c r="L104" s="4" t="s">
        <v>26</v>
      </c>
    </row>
    <row r="105" ht="15.75" customHeight="1">
      <c r="A105" s="2">
        <v>108.0</v>
      </c>
      <c r="B105" s="1" t="s">
        <v>375</v>
      </c>
      <c r="C105" s="2">
        <v>5.70054374182E11</v>
      </c>
      <c r="D105" s="1" t="s">
        <v>379</v>
      </c>
      <c r="E105" s="1" t="s">
        <v>327</v>
      </c>
      <c r="F105" s="1" t="s">
        <v>380</v>
      </c>
      <c r="G105" s="1" t="s">
        <v>12</v>
      </c>
      <c r="H105" s="3" t="s">
        <v>18</v>
      </c>
      <c r="I105" s="1"/>
      <c r="J105" s="4" t="s">
        <v>25</v>
      </c>
      <c r="K105" s="4" t="s">
        <v>19</v>
      </c>
      <c r="L105" s="4" t="s">
        <v>26</v>
      </c>
    </row>
    <row r="106" ht="15.75" customHeight="1">
      <c r="A106" s="2">
        <v>109.0</v>
      </c>
      <c r="B106" s="1" t="s">
        <v>381</v>
      </c>
      <c r="C106" s="2">
        <v>5.70054374196E11</v>
      </c>
      <c r="D106" s="1" t="s">
        <v>382</v>
      </c>
      <c r="E106" s="1" t="s">
        <v>383</v>
      </c>
      <c r="F106" s="1" t="s">
        <v>384</v>
      </c>
      <c r="G106" s="1" t="s">
        <v>12</v>
      </c>
      <c r="H106" s="3" t="s">
        <v>18</v>
      </c>
      <c r="I106" s="1"/>
      <c r="J106" s="4" t="s">
        <v>25</v>
      </c>
      <c r="K106" s="4" t="s">
        <v>19</v>
      </c>
      <c r="L106" s="4" t="s">
        <v>26</v>
      </c>
    </row>
    <row r="107" ht="15.75" customHeight="1">
      <c r="A107" s="2">
        <v>110.0</v>
      </c>
      <c r="B107" s="1" t="s">
        <v>385</v>
      </c>
      <c r="C107" s="2">
        <v>5.70054374197E11</v>
      </c>
      <c r="D107" s="1" t="s">
        <v>386</v>
      </c>
      <c r="E107" s="1" t="s">
        <v>387</v>
      </c>
      <c r="F107" s="1" t="s">
        <v>388</v>
      </c>
      <c r="G107" s="1" t="s">
        <v>12</v>
      </c>
      <c r="H107" s="3" t="s">
        <v>18</v>
      </c>
      <c r="I107" s="1"/>
      <c r="J107" s="4" t="s">
        <v>25</v>
      </c>
      <c r="K107" s="4" t="s">
        <v>19</v>
      </c>
      <c r="L107" s="4" t="s">
        <v>26</v>
      </c>
    </row>
    <row r="108" ht="15.75" customHeight="1">
      <c r="A108" s="2">
        <v>111.0</v>
      </c>
      <c r="B108" s="1" t="s">
        <v>111</v>
      </c>
      <c r="C108" s="2">
        <v>5.70054374198E11</v>
      </c>
      <c r="D108" s="1" t="s">
        <v>389</v>
      </c>
      <c r="E108" s="1" t="s">
        <v>390</v>
      </c>
      <c r="F108" s="1" t="s">
        <v>391</v>
      </c>
      <c r="G108" s="1" t="s">
        <v>12</v>
      </c>
      <c r="H108" s="3" t="s">
        <v>18</v>
      </c>
      <c r="I108" s="1"/>
      <c r="J108" s="4" t="s">
        <v>25</v>
      </c>
      <c r="K108" s="4" t="s">
        <v>19</v>
      </c>
      <c r="L108" s="4" t="s">
        <v>26</v>
      </c>
    </row>
    <row r="109" ht="15.75" customHeight="1">
      <c r="A109" s="2">
        <v>112.0</v>
      </c>
      <c r="B109" s="1" t="s">
        <v>392</v>
      </c>
      <c r="C109" s="2">
        <v>5.70054374199E11</v>
      </c>
      <c r="D109" s="1" t="s">
        <v>393</v>
      </c>
      <c r="E109" s="1" t="s">
        <v>394</v>
      </c>
      <c r="F109" s="1" t="s">
        <v>395</v>
      </c>
      <c r="G109" s="1" t="s">
        <v>12</v>
      </c>
      <c r="H109" s="3" t="s">
        <v>18</v>
      </c>
      <c r="I109" s="1"/>
      <c r="J109" s="4" t="s">
        <v>25</v>
      </c>
      <c r="K109" s="4" t="s">
        <v>19</v>
      </c>
      <c r="L109" s="4" t="s">
        <v>26</v>
      </c>
    </row>
    <row r="110" ht="15.75" customHeight="1">
      <c r="A110" s="2">
        <v>113.0</v>
      </c>
      <c r="B110" s="1" t="s">
        <v>396</v>
      </c>
      <c r="C110" s="2">
        <v>5.70054374206E11</v>
      </c>
      <c r="D110" s="1" t="s">
        <v>397</v>
      </c>
      <c r="E110" s="1" t="s">
        <v>398</v>
      </c>
      <c r="F110" s="1" t="s">
        <v>399</v>
      </c>
      <c r="G110" s="1" t="s">
        <v>12</v>
      </c>
      <c r="H110" s="3" t="s">
        <v>18</v>
      </c>
      <c r="I110" s="1"/>
      <c r="J110" s="4" t="s">
        <v>25</v>
      </c>
      <c r="K110" s="4" t="s">
        <v>19</v>
      </c>
      <c r="L110" s="4" t="s">
        <v>26</v>
      </c>
    </row>
    <row r="111" ht="15.75" customHeight="1">
      <c r="A111" s="2">
        <v>114.0</v>
      </c>
      <c r="B111" s="1" t="s">
        <v>400</v>
      </c>
      <c r="C111" s="2">
        <v>5.70054374207E11</v>
      </c>
      <c r="D111" s="1" t="s">
        <v>401</v>
      </c>
      <c r="E111" s="1" t="s">
        <v>402</v>
      </c>
      <c r="F111" s="1" t="s">
        <v>403</v>
      </c>
      <c r="G111" s="1" t="s">
        <v>12</v>
      </c>
      <c r="H111" s="3" t="s">
        <v>18</v>
      </c>
      <c r="I111" s="1"/>
      <c r="J111" s="4" t="s">
        <v>25</v>
      </c>
      <c r="K111" s="4" t="s">
        <v>19</v>
      </c>
      <c r="L111" s="4" t="s">
        <v>26</v>
      </c>
    </row>
    <row r="112" ht="15.75" customHeight="1">
      <c r="A112" s="2">
        <v>115.0</v>
      </c>
      <c r="B112" s="1" t="s">
        <v>404</v>
      </c>
      <c r="C112" s="2">
        <v>5.70054374208E11</v>
      </c>
      <c r="D112" s="1" t="s">
        <v>405</v>
      </c>
      <c r="E112" s="1" t="s">
        <v>406</v>
      </c>
      <c r="F112" s="1" t="s">
        <v>407</v>
      </c>
      <c r="G112" s="1" t="s">
        <v>12</v>
      </c>
      <c r="H112" s="3" t="s">
        <v>18</v>
      </c>
      <c r="I112" s="1"/>
      <c r="J112" s="4" t="s">
        <v>25</v>
      </c>
      <c r="K112" s="4" t="s">
        <v>19</v>
      </c>
      <c r="L112" s="4" t="s">
        <v>26</v>
      </c>
    </row>
    <row r="113" ht="15.75" customHeight="1">
      <c r="A113" s="2">
        <v>116.0</v>
      </c>
      <c r="B113" s="1" t="s">
        <v>408</v>
      </c>
      <c r="C113" s="2">
        <v>5.70054374211E11</v>
      </c>
      <c r="D113" s="1" t="s">
        <v>409</v>
      </c>
      <c r="E113" s="1" t="s">
        <v>410</v>
      </c>
      <c r="F113" s="1" t="s">
        <v>411</v>
      </c>
      <c r="G113" s="1" t="s">
        <v>12</v>
      </c>
      <c r="H113" s="3" t="s">
        <v>18</v>
      </c>
      <c r="I113" s="1"/>
      <c r="J113" s="4" t="s">
        <v>25</v>
      </c>
      <c r="K113" s="4" t="s">
        <v>19</v>
      </c>
      <c r="L113" s="4" t="s">
        <v>26</v>
      </c>
    </row>
    <row r="114" ht="15.75" customHeight="1">
      <c r="A114" s="2">
        <v>117.0</v>
      </c>
      <c r="B114" s="1" t="s">
        <v>412</v>
      </c>
      <c r="C114" s="2">
        <v>5.70054374212E11</v>
      </c>
      <c r="D114" s="1" t="s">
        <v>413</v>
      </c>
      <c r="E114" s="1" t="s">
        <v>350</v>
      </c>
      <c r="F114" s="1" t="s">
        <v>414</v>
      </c>
      <c r="G114" s="1" t="s">
        <v>12</v>
      </c>
      <c r="H114" s="3" t="s">
        <v>18</v>
      </c>
      <c r="I114" s="1"/>
      <c r="J114" s="4" t="s">
        <v>25</v>
      </c>
      <c r="K114" s="4" t="s">
        <v>19</v>
      </c>
      <c r="L114" s="4" t="s">
        <v>26</v>
      </c>
    </row>
    <row r="115" ht="15.75" customHeight="1">
      <c r="A115" s="2">
        <v>118.0</v>
      </c>
      <c r="B115" s="1" t="s">
        <v>415</v>
      </c>
      <c r="C115" s="2">
        <v>5.70054374213E11</v>
      </c>
      <c r="D115" s="1" t="s">
        <v>416</v>
      </c>
      <c r="E115" s="1" t="s">
        <v>260</v>
      </c>
      <c r="F115" s="1" t="s">
        <v>417</v>
      </c>
      <c r="G115" s="1" t="s">
        <v>12</v>
      </c>
      <c r="H115" s="3" t="s">
        <v>18</v>
      </c>
      <c r="I115" s="1"/>
      <c r="J115" s="4" t="s">
        <v>25</v>
      </c>
      <c r="K115" s="4" t="s">
        <v>19</v>
      </c>
      <c r="L115" s="4" t="s">
        <v>26</v>
      </c>
    </row>
    <row r="116" ht="15.75" customHeight="1">
      <c r="A116" s="2">
        <v>119.0</v>
      </c>
      <c r="B116" s="1" t="s">
        <v>418</v>
      </c>
      <c r="C116" s="2">
        <v>5.70054374214E11</v>
      </c>
      <c r="D116" s="1" t="s">
        <v>419</v>
      </c>
      <c r="E116" s="1" t="s">
        <v>420</v>
      </c>
      <c r="F116" s="1" t="s">
        <v>363</v>
      </c>
      <c r="G116" s="1" t="s">
        <v>12</v>
      </c>
      <c r="H116" s="3" t="s">
        <v>18</v>
      </c>
      <c r="I116" s="1"/>
      <c r="J116" s="4" t="s">
        <v>25</v>
      </c>
      <c r="K116" s="4" t="s">
        <v>19</v>
      </c>
      <c r="L116" s="4" t="s">
        <v>26</v>
      </c>
    </row>
    <row r="117" ht="15.75" customHeight="1">
      <c r="A117" s="2">
        <v>120.0</v>
      </c>
      <c r="B117" s="1" t="s">
        <v>136</v>
      </c>
      <c r="C117" s="2">
        <v>5.70054374215E11</v>
      </c>
      <c r="D117" s="1" t="s">
        <v>421</v>
      </c>
      <c r="E117" s="1" t="s">
        <v>237</v>
      </c>
      <c r="F117" s="1" t="s">
        <v>422</v>
      </c>
      <c r="G117" s="1" t="s">
        <v>12</v>
      </c>
      <c r="H117" s="3" t="s">
        <v>18</v>
      </c>
      <c r="I117" s="1"/>
      <c r="J117" s="4" t="s">
        <v>25</v>
      </c>
      <c r="K117" s="4" t="s">
        <v>19</v>
      </c>
      <c r="L117" s="4" t="s">
        <v>26</v>
      </c>
    </row>
    <row r="118" ht="15.75" customHeight="1">
      <c r="A118" s="2">
        <v>121.0</v>
      </c>
      <c r="B118" s="1" t="s">
        <v>423</v>
      </c>
      <c r="C118" s="2">
        <v>5.70054374219E11</v>
      </c>
      <c r="D118" s="1" t="s">
        <v>424</v>
      </c>
      <c r="E118" s="1" t="s">
        <v>100</v>
      </c>
      <c r="F118" s="1" t="s">
        <v>425</v>
      </c>
      <c r="G118" s="1" t="s">
        <v>12</v>
      </c>
      <c r="H118" s="3" t="s">
        <v>18</v>
      </c>
      <c r="I118" s="1"/>
      <c r="J118" s="4" t="s">
        <v>25</v>
      </c>
      <c r="K118" s="4" t="s">
        <v>19</v>
      </c>
      <c r="L118" s="4" t="s">
        <v>26</v>
      </c>
    </row>
    <row r="119" ht="15.75" customHeight="1">
      <c r="A119" s="2">
        <v>122.0</v>
      </c>
      <c r="B119" s="1" t="s">
        <v>426</v>
      </c>
      <c r="C119" s="2">
        <v>5.7005437422E11</v>
      </c>
      <c r="D119" s="1" t="s">
        <v>427</v>
      </c>
      <c r="E119" s="1" t="s">
        <v>428</v>
      </c>
      <c r="F119" s="1" t="s">
        <v>429</v>
      </c>
      <c r="G119" s="1" t="s">
        <v>12</v>
      </c>
      <c r="H119" s="3" t="s">
        <v>18</v>
      </c>
      <c r="I119" s="1"/>
      <c r="J119" s="4" t="s">
        <v>25</v>
      </c>
      <c r="K119" s="4" t="s">
        <v>19</v>
      </c>
      <c r="L119" s="4" t="s">
        <v>26</v>
      </c>
    </row>
    <row r="120" ht="15.75" customHeight="1">
      <c r="A120" s="2">
        <v>123.0</v>
      </c>
      <c r="B120" s="1" t="s">
        <v>377</v>
      </c>
      <c r="C120" s="2">
        <v>5.70054374229E11</v>
      </c>
      <c r="D120" s="1" t="s">
        <v>430</v>
      </c>
      <c r="E120" s="1" t="s">
        <v>115</v>
      </c>
      <c r="F120" s="1" t="s">
        <v>431</v>
      </c>
      <c r="G120" s="1" t="s">
        <v>12</v>
      </c>
      <c r="H120" s="3" t="s">
        <v>18</v>
      </c>
      <c r="I120" s="1"/>
      <c r="J120" s="4" t="s">
        <v>25</v>
      </c>
      <c r="K120" s="4" t="s">
        <v>19</v>
      </c>
      <c r="L120" s="4" t="s">
        <v>26</v>
      </c>
    </row>
    <row r="121" ht="15.75" customHeight="1">
      <c r="A121" s="2">
        <v>124.0</v>
      </c>
      <c r="B121" s="1" t="s">
        <v>432</v>
      </c>
      <c r="C121" s="2">
        <v>5.7005437423E11</v>
      </c>
      <c r="D121" s="1" t="s">
        <v>433</v>
      </c>
      <c r="E121" s="1" t="s">
        <v>434</v>
      </c>
      <c r="F121" s="1" t="s">
        <v>435</v>
      </c>
      <c r="G121" s="1" t="s">
        <v>12</v>
      </c>
      <c r="H121" s="3" t="s">
        <v>18</v>
      </c>
      <c r="I121" s="1"/>
      <c r="J121" s="4" t="s">
        <v>25</v>
      </c>
      <c r="K121" s="4" t="s">
        <v>19</v>
      </c>
      <c r="L121" s="4" t="s">
        <v>26</v>
      </c>
    </row>
    <row r="122" ht="15.75" customHeight="1">
      <c r="A122" s="2">
        <v>125.0</v>
      </c>
      <c r="B122" s="1" t="s">
        <v>436</v>
      </c>
      <c r="C122" s="2">
        <v>5.70054374232E11</v>
      </c>
      <c r="D122" s="1" t="s">
        <v>437</v>
      </c>
      <c r="E122" s="1" t="s">
        <v>70</v>
      </c>
      <c r="F122" s="1" t="s">
        <v>438</v>
      </c>
      <c r="G122" s="1" t="s">
        <v>12</v>
      </c>
      <c r="H122" s="3" t="s">
        <v>18</v>
      </c>
      <c r="I122" s="1"/>
      <c r="J122" s="4" t="s">
        <v>25</v>
      </c>
      <c r="K122" s="4" t="s">
        <v>19</v>
      </c>
      <c r="L122" s="4" t="s">
        <v>26</v>
      </c>
    </row>
    <row r="123" ht="15.75" customHeight="1">
      <c r="A123" s="2">
        <v>126.0</v>
      </c>
      <c r="B123" s="1" t="s">
        <v>151</v>
      </c>
      <c r="C123" s="2">
        <v>5.70054374235E11</v>
      </c>
      <c r="D123" s="1" t="s">
        <v>439</v>
      </c>
      <c r="E123" s="1" t="s">
        <v>440</v>
      </c>
      <c r="F123" s="1" t="s">
        <v>441</v>
      </c>
      <c r="G123" s="1" t="s">
        <v>12</v>
      </c>
      <c r="H123" s="3" t="s">
        <v>18</v>
      </c>
      <c r="I123" s="1"/>
      <c r="J123" s="4" t="s">
        <v>25</v>
      </c>
      <c r="K123" s="4" t="s">
        <v>19</v>
      </c>
      <c r="L123" s="4" t="s">
        <v>26</v>
      </c>
    </row>
    <row r="124" ht="15.75" customHeight="1">
      <c r="A124" s="2">
        <v>127.0</v>
      </c>
      <c r="B124" s="1" t="s">
        <v>442</v>
      </c>
      <c r="C124" s="2">
        <v>5.70054374236E11</v>
      </c>
      <c r="D124" s="1" t="s">
        <v>443</v>
      </c>
      <c r="E124" s="1" t="s">
        <v>428</v>
      </c>
      <c r="F124" s="1" t="s">
        <v>444</v>
      </c>
      <c r="G124" s="1" t="s">
        <v>12</v>
      </c>
      <c r="H124" s="3" t="s">
        <v>18</v>
      </c>
      <c r="I124" s="1"/>
      <c r="J124" s="4" t="s">
        <v>25</v>
      </c>
      <c r="K124" s="4" t="s">
        <v>19</v>
      </c>
      <c r="L124" s="4" t="s">
        <v>26</v>
      </c>
    </row>
    <row r="125" ht="15.75" customHeight="1">
      <c r="A125" s="2">
        <v>129.0</v>
      </c>
      <c r="B125" s="1" t="s">
        <v>445</v>
      </c>
      <c r="C125" s="2">
        <v>5.70054374238E11</v>
      </c>
      <c r="D125" s="1" t="s">
        <v>446</v>
      </c>
      <c r="E125" s="1" t="s">
        <v>100</v>
      </c>
      <c r="F125" s="1" t="s">
        <v>447</v>
      </c>
      <c r="G125" s="1" t="s">
        <v>12</v>
      </c>
      <c r="H125" s="3" t="s">
        <v>18</v>
      </c>
      <c r="I125" s="1"/>
      <c r="J125" s="4" t="s">
        <v>25</v>
      </c>
      <c r="K125" s="4" t="s">
        <v>19</v>
      </c>
      <c r="L125" s="4" t="s">
        <v>26</v>
      </c>
    </row>
    <row r="126" ht="15.75" customHeight="1">
      <c r="A126" s="2">
        <v>130.0</v>
      </c>
      <c r="B126" s="1" t="s">
        <v>448</v>
      </c>
      <c r="C126" s="2">
        <v>5.70054374239E11</v>
      </c>
      <c r="D126" s="1" t="s">
        <v>449</v>
      </c>
      <c r="E126" s="1" t="s">
        <v>266</v>
      </c>
      <c r="F126" s="1" t="s">
        <v>450</v>
      </c>
      <c r="G126" s="1" t="s">
        <v>12</v>
      </c>
      <c r="H126" s="3" t="s">
        <v>18</v>
      </c>
      <c r="I126" s="1"/>
      <c r="J126" s="4" t="s">
        <v>25</v>
      </c>
      <c r="K126" s="4" t="s">
        <v>19</v>
      </c>
      <c r="L126" s="4" t="s">
        <v>26</v>
      </c>
    </row>
    <row r="127" ht="15.75" customHeight="1">
      <c r="A127" s="2">
        <v>131.0</v>
      </c>
      <c r="B127" s="1" t="s">
        <v>206</v>
      </c>
      <c r="C127" s="2">
        <v>5.70054374241E11</v>
      </c>
      <c r="D127" s="1" t="s">
        <v>451</v>
      </c>
      <c r="E127" s="1" t="s">
        <v>340</v>
      </c>
      <c r="F127" s="1" t="s">
        <v>452</v>
      </c>
      <c r="G127" s="1" t="s">
        <v>12</v>
      </c>
      <c r="H127" s="3" t="s">
        <v>18</v>
      </c>
      <c r="I127" s="1"/>
      <c r="J127" s="4" t="s">
        <v>25</v>
      </c>
      <c r="K127" s="4" t="s">
        <v>19</v>
      </c>
      <c r="L127" s="4" t="s">
        <v>26</v>
      </c>
    </row>
    <row r="128" ht="15.75" customHeight="1">
      <c r="A128" s="2">
        <v>132.0</v>
      </c>
      <c r="B128" s="1" t="s">
        <v>89</v>
      </c>
      <c r="C128" s="2">
        <v>5.70054374242E11</v>
      </c>
      <c r="D128" s="1" t="s">
        <v>453</v>
      </c>
      <c r="E128" s="1" t="s">
        <v>280</v>
      </c>
      <c r="F128" s="1" t="s">
        <v>38</v>
      </c>
      <c r="G128" s="1" t="s">
        <v>12</v>
      </c>
      <c r="H128" s="3" t="s">
        <v>18</v>
      </c>
      <c r="I128" s="1"/>
      <c r="J128" s="4" t="s">
        <v>25</v>
      </c>
      <c r="K128" s="4" t="s">
        <v>19</v>
      </c>
      <c r="L128" s="4" t="s">
        <v>26</v>
      </c>
    </row>
    <row r="129" ht="15.75" customHeight="1">
      <c r="A129" s="2">
        <v>133.0</v>
      </c>
      <c r="B129" s="1" t="s">
        <v>273</v>
      </c>
      <c r="C129" s="2">
        <v>5.70054374243E11</v>
      </c>
      <c r="D129" s="1" t="s">
        <v>454</v>
      </c>
      <c r="E129" s="1" t="s">
        <v>455</v>
      </c>
      <c r="F129" s="1" t="s">
        <v>456</v>
      </c>
      <c r="G129" s="1" t="s">
        <v>12</v>
      </c>
      <c r="H129" s="3" t="s">
        <v>18</v>
      </c>
      <c r="I129" s="1"/>
      <c r="J129" s="4" t="s">
        <v>25</v>
      </c>
      <c r="K129" s="4" t="s">
        <v>19</v>
      </c>
      <c r="L129" s="4" t="s">
        <v>26</v>
      </c>
    </row>
    <row r="130" ht="15.75" customHeight="1">
      <c r="A130" s="2">
        <v>134.0</v>
      </c>
      <c r="B130" s="1" t="s">
        <v>457</v>
      </c>
      <c r="C130" s="2">
        <v>5.70054374259E11</v>
      </c>
      <c r="D130" s="1" t="s">
        <v>458</v>
      </c>
      <c r="E130" s="1" t="s">
        <v>459</v>
      </c>
      <c r="F130" s="1" t="s">
        <v>460</v>
      </c>
      <c r="G130" s="1" t="s">
        <v>12</v>
      </c>
      <c r="H130" s="3" t="s">
        <v>18</v>
      </c>
      <c r="I130" s="1"/>
      <c r="J130" s="4" t="s">
        <v>25</v>
      </c>
      <c r="K130" s="4" t="s">
        <v>19</v>
      </c>
      <c r="L130" s="4" t="s">
        <v>26</v>
      </c>
    </row>
    <row r="131" ht="15.75" customHeight="1">
      <c r="A131" s="2">
        <v>135.0</v>
      </c>
      <c r="B131" s="1" t="s">
        <v>275</v>
      </c>
      <c r="C131" s="2">
        <v>5.70054374261E11</v>
      </c>
      <c r="D131" s="1" t="s">
        <v>461</v>
      </c>
      <c r="E131" s="1" t="s">
        <v>462</v>
      </c>
      <c r="F131" s="1" t="s">
        <v>463</v>
      </c>
      <c r="G131" s="1" t="s">
        <v>12</v>
      </c>
      <c r="H131" s="3" t="s">
        <v>18</v>
      </c>
      <c r="I131" s="1"/>
      <c r="J131" s="4" t="s">
        <v>25</v>
      </c>
      <c r="K131" s="4" t="s">
        <v>19</v>
      </c>
      <c r="L131" s="4" t="s">
        <v>26</v>
      </c>
    </row>
    <row r="132" ht="15.75" customHeight="1">
      <c r="A132" s="2">
        <v>136.0</v>
      </c>
      <c r="B132" s="1" t="s">
        <v>74</v>
      </c>
      <c r="C132" s="2">
        <v>5.70054374263E11</v>
      </c>
      <c r="D132" s="1" t="s">
        <v>464</v>
      </c>
      <c r="E132" s="1" t="s">
        <v>465</v>
      </c>
      <c r="F132" s="1" t="s">
        <v>466</v>
      </c>
      <c r="G132" s="1" t="s">
        <v>12</v>
      </c>
      <c r="H132" s="3" t="s">
        <v>18</v>
      </c>
      <c r="I132" s="1"/>
      <c r="J132" s="4" t="s">
        <v>25</v>
      </c>
      <c r="K132" s="4" t="s">
        <v>19</v>
      </c>
      <c r="L132" s="4" t="s">
        <v>26</v>
      </c>
    </row>
    <row r="133" ht="15.75" customHeight="1">
      <c r="A133" s="2">
        <v>137.0</v>
      </c>
      <c r="B133" s="1" t="s">
        <v>467</v>
      </c>
      <c r="C133" s="2">
        <v>5.70054374264E11</v>
      </c>
      <c r="D133" s="1" t="s">
        <v>468</v>
      </c>
      <c r="E133" s="1" t="s">
        <v>188</v>
      </c>
      <c r="F133" s="1" t="s">
        <v>469</v>
      </c>
      <c r="G133" s="1" t="s">
        <v>12</v>
      </c>
      <c r="H133" s="3" t="s">
        <v>18</v>
      </c>
      <c r="I133" s="1"/>
      <c r="J133" s="4" t="s">
        <v>25</v>
      </c>
      <c r="K133" s="4" t="s">
        <v>19</v>
      </c>
      <c r="L133" s="4" t="s">
        <v>26</v>
      </c>
    </row>
    <row r="134" ht="15.75" customHeight="1">
      <c r="A134" s="2">
        <v>138.0</v>
      </c>
      <c r="B134" s="1" t="s">
        <v>470</v>
      </c>
      <c r="C134" s="2">
        <v>5.70054374265E11</v>
      </c>
      <c r="D134" s="1" t="s">
        <v>471</v>
      </c>
      <c r="E134" s="1" t="s">
        <v>136</v>
      </c>
      <c r="F134" s="1" t="s">
        <v>472</v>
      </c>
      <c r="G134" s="1" t="s">
        <v>12</v>
      </c>
      <c r="H134" s="3" t="s">
        <v>18</v>
      </c>
      <c r="I134" s="1"/>
      <c r="J134" s="4" t="s">
        <v>25</v>
      </c>
      <c r="K134" s="4" t="s">
        <v>19</v>
      </c>
      <c r="L134" s="4" t="s">
        <v>26</v>
      </c>
    </row>
    <row r="135" ht="15.75" customHeight="1">
      <c r="A135" s="2">
        <v>139.0</v>
      </c>
      <c r="B135" s="1" t="s">
        <v>473</v>
      </c>
      <c r="C135" s="2">
        <v>5.70054374266E11</v>
      </c>
      <c r="D135" s="1" t="s">
        <v>474</v>
      </c>
      <c r="E135" s="1" t="s">
        <v>475</v>
      </c>
      <c r="F135" s="1" t="s">
        <v>476</v>
      </c>
      <c r="G135" s="1" t="s">
        <v>12</v>
      </c>
      <c r="H135" s="3" t="s">
        <v>18</v>
      </c>
      <c r="I135" s="1"/>
      <c r="J135" s="4" t="s">
        <v>25</v>
      </c>
      <c r="K135" s="4" t="s">
        <v>19</v>
      </c>
      <c r="L135" s="4" t="s">
        <v>26</v>
      </c>
    </row>
    <row r="136" ht="15.75" customHeight="1">
      <c r="A136" s="2">
        <v>140.0</v>
      </c>
      <c r="B136" s="1" t="s">
        <v>477</v>
      </c>
      <c r="C136" s="2">
        <v>5.70054374267E11</v>
      </c>
      <c r="D136" s="1" t="s">
        <v>478</v>
      </c>
      <c r="E136" s="1" t="s">
        <v>479</v>
      </c>
      <c r="F136" s="1" t="s">
        <v>480</v>
      </c>
      <c r="G136" s="1" t="s">
        <v>12</v>
      </c>
      <c r="H136" s="3" t="s">
        <v>18</v>
      </c>
      <c r="I136" s="1"/>
      <c r="J136" s="4" t="s">
        <v>25</v>
      </c>
      <c r="K136" s="4" t="s">
        <v>19</v>
      </c>
      <c r="L136" s="4" t="s">
        <v>26</v>
      </c>
    </row>
    <row r="137" ht="15.75" customHeight="1">
      <c r="A137" s="2">
        <v>141.0</v>
      </c>
      <c r="B137" s="1" t="s">
        <v>481</v>
      </c>
      <c r="C137" s="2">
        <v>5.70054374273E11</v>
      </c>
      <c r="D137" s="1" t="s">
        <v>482</v>
      </c>
      <c r="E137" s="1" t="s">
        <v>483</v>
      </c>
      <c r="F137" s="1" t="s">
        <v>484</v>
      </c>
      <c r="G137" s="1" t="s">
        <v>12</v>
      </c>
      <c r="H137" s="3" t="s">
        <v>18</v>
      </c>
      <c r="I137" s="1"/>
      <c r="J137" s="4" t="s">
        <v>25</v>
      </c>
      <c r="K137" s="4" t="s">
        <v>19</v>
      </c>
      <c r="L137" s="4" t="s">
        <v>26</v>
      </c>
    </row>
    <row r="138" ht="15.75" customHeight="1">
      <c r="A138" s="2">
        <v>142.0</v>
      </c>
      <c r="B138" s="1" t="s">
        <v>111</v>
      </c>
      <c r="C138" s="2">
        <v>5.70054374274E11</v>
      </c>
      <c r="D138" s="1" t="s">
        <v>485</v>
      </c>
      <c r="E138" s="1" t="s">
        <v>486</v>
      </c>
      <c r="F138" s="1" t="s">
        <v>487</v>
      </c>
      <c r="G138" s="1" t="s">
        <v>12</v>
      </c>
      <c r="H138" s="3" t="s">
        <v>18</v>
      </c>
      <c r="I138" s="1"/>
      <c r="J138" s="4" t="s">
        <v>25</v>
      </c>
      <c r="K138" s="4" t="s">
        <v>19</v>
      </c>
      <c r="L138" s="4" t="s">
        <v>26</v>
      </c>
    </row>
    <row r="139" ht="15.75" customHeight="1">
      <c r="A139" s="2">
        <v>143.0</v>
      </c>
      <c r="B139" s="1" t="s">
        <v>243</v>
      </c>
      <c r="C139" s="2">
        <v>5.70054374275E11</v>
      </c>
      <c r="D139" s="1" t="s">
        <v>488</v>
      </c>
      <c r="E139" s="1" t="s">
        <v>81</v>
      </c>
      <c r="F139" s="1" t="s">
        <v>489</v>
      </c>
      <c r="G139" s="1" t="s">
        <v>12</v>
      </c>
      <c r="H139" s="3" t="s">
        <v>18</v>
      </c>
      <c r="I139" s="1"/>
      <c r="J139" s="4" t="s">
        <v>25</v>
      </c>
      <c r="K139" s="4" t="s">
        <v>19</v>
      </c>
      <c r="L139" s="4" t="s">
        <v>26</v>
      </c>
    </row>
    <row r="140" ht="15.75" customHeight="1">
      <c r="A140" s="2">
        <v>144.0</v>
      </c>
      <c r="B140" s="1" t="s">
        <v>490</v>
      </c>
      <c r="C140" s="2">
        <v>5.70054374281E11</v>
      </c>
      <c r="D140" s="1" t="s">
        <v>491</v>
      </c>
      <c r="E140" s="1" t="s">
        <v>492</v>
      </c>
      <c r="F140" s="1" t="s">
        <v>493</v>
      </c>
      <c r="G140" s="1" t="s">
        <v>12</v>
      </c>
      <c r="H140" s="3" t="s">
        <v>18</v>
      </c>
      <c r="I140" s="1"/>
      <c r="J140" s="4" t="s">
        <v>25</v>
      </c>
      <c r="K140" s="4" t="s">
        <v>19</v>
      </c>
      <c r="L140" s="4" t="s">
        <v>26</v>
      </c>
    </row>
    <row r="141" ht="15.75" customHeight="1">
      <c r="A141" s="2">
        <v>145.0</v>
      </c>
      <c r="B141" s="1" t="s">
        <v>494</v>
      </c>
      <c r="C141" s="2">
        <v>5.70054374284E11</v>
      </c>
      <c r="D141" s="1" t="s">
        <v>495</v>
      </c>
      <c r="E141" s="1" t="s">
        <v>496</v>
      </c>
      <c r="F141" s="1" t="s">
        <v>497</v>
      </c>
      <c r="G141" s="1" t="s">
        <v>12</v>
      </c>
      <c r="H141" s="3" t="s">
        <v>18</v>
      </c>
      <c r="I141" s="1"/>
      <c r="J141" s="4" t="s">
        <v>25</v>
      </c>
      <c r="K141" s="4" t="s">
        <v>19</v>
      </c>
      <c r="L141" s="4" t="s">
        <v>26</v>
      </c>
    </row>
    <row r="142" ht="15.75" customHeight="1">
      <c r="A142" s="2">
        <v>146.0</v>
      </c>
      <c r="B142" s="1" t="s">
        <v>385</v>
      </c>
      <c r="C142" s="2">
        <v>5.70054374287E11</v>
      </c>
      <c r="D142" s="1" t="s">
        <v>498</v>
      </c>
      <c r="E142" s="1" t="s">
        <v>499</v>
      </c>
      <c r="F142" s="1" t="s">
        <v>500</v>
      </c>
      <c r="G142" s="1" t="s">
        <v>12</v>
      </c>
      <c r="H142" s="3" t="s">
        <v>18</v>
      </c>
      <c r="I142" s="1"/>
      <c r="J142" s="4" t="s">
        <v>25</v>
      </c>
      <c r="K142" s="4" t="s">
        <v>19</v>
      </c>
      <c r="L142" s="4" t="s">
        <v>26</v>
      </c>
    </row>
    <row r="143" ht="15.75" customHeight="1">
      <c r="A143" s="2">
        <v>147.0</v>
      </c>
      <c r="B143" s="1" t="s">
        <v>290</v>
      </c>
      <c r="C143" s="2">
        <v>5.70054374289E11</v>
      </c>
      <c r="D143" s="1" t="s">
        <v>501</v>
      </c>
      <c r="E143" s="1" t="s">
        <v>249</v>
      </c>
      <c r="F143" s="1" t="s">
        <v>502</v>
      </c>
      <c r="G143" s="1" t="s">
        <v>12</v>
      </c>
      <c r="H143" s="3" t="s">
        <v>18</v>
      </c>
      <c r="I143" s="1"/>
      <c r="J143" s="4" t="s">
        <v>25</v>
      </c>
      <c r="K143" s="4" t="s">
        <v>19</v>
      </c>
      <c r="L143" s="4" t="s">
        <v>26</v>
      </c>
    </row>
    <row r="144" ht="15.75" customHeight="1">
      <c r="A144" s="2">
        <v>148.0</v>
      </c>
      <c r="B144" s="1" t="s">
        <v>503</v>
      </c>
      <c r="C144" s="2">
        <v>5.7005437429E11</v>
      </c>
      <c r="D144" s="1" t="s">
        <v>504</v>
      </c>
      <c r="E144" s="1" t="s">
        <v>364</v>
      </c>
      <c r="F144" s="1" t="s">
        <v>505</v>
      </c>
      <c r="G144" s="1" t="s">
        <v>12</v>
      </c>
      <c r="H144" s="3" t="s">
        <v>18</v>
      </c>
      <c r="I144" s="1"/>
      <c r="J144" s="4" t="s">
        <v>25</v>
      </c>
      <c r="K144" s="4" t="s">
        <v>19</v>
      </c>
      <c r="L144" s="4" t="s">
        <v>26</v>
      </c>
    </row>
    <row r="145" ht="15.75" customHeight="1">
      <c r="A145" s="2">
        <v>149.0</v>
      </c>
      <c r="B145" s="1" t="s">
        <v>506</v>
      </c>
      <c r="C145" s="2">
        <v>5.70054374296E11</v>
      </c>
      <c r="D145" s="1" t="s">
        <v>507</v>
      </c>
      <c r="E145" s="1" t="s">
        <v>508</v>
      </c>
      <c r="F145" s="1" t="s">
        <v>509</v>
      </c>
      <c r="G145" s="1" t="s">
        <v>12</v>
      </c>
      <c r="H145" s="3" t="s">
        <v>18</v>
      </c>
      <c r="I145" s="1"/>
      <c r="J145" s="4" t="s">
        <v>25</v>
      </c>
      <c r="K145" s="4" t="s">
        <v>19</v>
      </c>
      <c r="L145" s="4" t="s">
        <v>26</v>
      </c>
    </row>
    <row r="146" ht="15.75" customHeight="1">
      <c r="A146" s="2">
        <v>150.0</v>
      </c>
      <c r="B146" s="1" t="s">
        <v>510</v>
      </c>
      <c r="C146" s="2">
        <v>5.70054374297E11</v>
      </c>
      <c r="D146" s="1" t="s">
        <v>511</v>
      </c>
      <c r="E146" s="1" t="s">
        <v>118</v>
      </c>
      <c r="F146" s="1" t="s">
        <v>512</v>
      </c>
      <c r="G146" s="1" t="s">
        <v>12</v>
      </c>
      <c r="H146" s="3" t="s">
        <v>18</v>
      </c>
      <c r="I146" s="1"/>
      <c r="J146" s="4" t="s">
        <v>25</v>
      </c>
      <c r="K146" s="4" t="s">
        <v>19</v>
      </c>
      <c r="L146" s="4" t="s">
        <v>26</v>
      </c>
    </row>
    <row r="147" ht="15.75" customHeight="1">
      <c r="A147" s="2">
        <v>151.0</v>
      </c>
      <c r="B147" s="1" t="s">
        <v>167</v>
      </c>
      <c r="C147" s="2">
        <v>5.70054374299E11</v>
      </c>
      <c r="D147" s="1" t="s">
        <v>513</v>
      </c>
      <c r="E147" s="1" t="s">
        <v>514</v>
      </c>
      <c r="F147" s="1" t="s">
        <v>220</v>
      </c>
      <c r="G147" s="1" t="s">
        <v>12</v>
      </c>
      <c r="H147" s="3" t="s">
        <v>18</v>
      </c>
      <c r="I147" s="1"/>
      <c r="J147" s="4" t="s">
        <v>25</v>
      </c>
      <c r="K147" s="4" t="s">
        <v>19</v>
      </c>
      <c r="L147" s="4" t="s">
        <v>26</v>
      </c>
    </row>
    <row r="148" ht="15.75" customHeight="1">
      <c r="A148" s="2">
        <v>152.0</v>
      </c>
      <c r="B148" s="1" t="s">
        <v>515</v>
      </c>
      <c r="C148" s="2">
        <v>5.70054374312E11</v>
      </c>
      <c r="D148" s="1" t="s">
        <v>516</v>
      </c>
      <c r="E148" s="1" t="s">
        <v>70</v>
      </c>
      <c r="F148" s="1" t="s">
        <v>517</v>
      </c>
      <c r="G148" s="1" t="s">
        <v>12</v>
      </c>
      <c r="H148" s="3" t="s">
        <v>18</v>
      </c>
      <c r="I148" s="1"/>
      <c r="J148" s="4" t="s">
        <v>25</v>
      </c>
      <c r="K148" s="4" t="s">
        <v>19</v>
      </c>
      <c r="L148" s="4" t="s">
        <v>26</v>
      </c>
    </row>
    <row r="149" ht="15.75" customHeight="1">
      <c r="A149" s="2">
        <v>153.0</v>
      </c>
      <c r="B149" s="1" t="s">
        <v>111</v>
      </c>
      <c r="C149" s="2">
        <v>5.70054374513E11</v>
      </c>
      <c r="D149" s="1" t="s">
        <v>186</v>
      </c>
      <c r="E149" s="1" t="s">
        <v>518</v>
      </c>
      <c r="F149" s="1" t="s">
        <v>519</v>
      </c>
      <c r="G149" s="1" t="s">
        <v>12</v>
      </c>
      <c r="H149" s="3" t="s">
        <v>18</v>
      </c>
      <c r="I149" s="1"/>
      <c r="J149" s="4" t="s">
        <v>25</v>
      </c>
      <c r="K149" s="4" t="s">
        <v>19</v>
      </c>
      <c r="L149" s="4" t="s">
        <v>26</v>
      </c>
    </row>
    <row r="150" ht="15.75" customHeight="1">
      <c r="A150" s="2">
        <v>154.0</v>
      </c>
      <c r="B150" s="1" t="s">
        <v>520</v>
      </c>
      <c r="C150" s="2">
        <v>5.70054374519E11</v>
      </c>
      <c r="D150" s="1" t="s">
        <v>521</v>
      </c>
      <c r="E150" s="1" t="s">
        <v>522</v>
      </c>
      <c r="F150" s="1" t="s">
        <v>523</v>
      </c>
      <c r="G150" s="1" t="s">
        <v>12</v>
      </c>
      <c r="H150" s="3" t="s">
        <v>18</v>
      </c>
      <c r="I150" s="1"/>
      <c r="J150" s="4" t="s">
        <v>25</v>
      </c>
      <c r="K150" s="4" t="s">
        <v>19</v>
      </c>
      <c r="L150" s="4" t="s">
        <v>26</v>
      </c>
    </row>
    <row r="151" ht="15.75" customHeight="1">
      <c r="A151" s="2">
        <v>155.0</v>
      </c>
      <c r="B151" s="1" t="s">
        <v>524</v>
      </c>
      <c r="C151" s="2">
        <v>5.7005437452E11</v>
      </c>
      <c r="D151" s="1" t="s">
        <v>525</v>
      </c>
      <c r="E151" s="1" t="s">
        <v>79</v>
      </c>
      <c r="F151" s="1" t="s">
        <v>526</v>
      </c>
      <c r="G151" s="1" t="s">
        <v>12</v>
      </c>
      <c r="H151" s="3" t="s">
        <v>18</v>
      </c>
      <c r="I151" s="1"/>
      <c r="J151" s="4" t="s">
        <v>25</v>
      </c>
      <c r="K151" s="4" t="s">
        <v>19</v>
      </c>
      <c r="L151" s="4" t="s">
        <v>26</v>
      </c>
    </row>
    <row r="152" ht="15.75" customHeight="1">
      <c r="A152" s="2">
        <v>156.0</v>
      </c>
      <c r="B152" s="1" t="s">
        <v>527</v>
      </c>
      <c r="C152" s="2">
        <v>5.70054374521E11</v>
      </c>
      <c r="D152" s="1" t="s">
        <v>528</v>
      </c>
      <c r="E152" s="1" t="s">
        <v>396</v>
      </c>
      <c r="F152" s="1" t="s">
        <v>529</v>
      </c>
      <c r="G152" s="1" t="s">
        <v>12</v>
      </c>
      <c r="H152" s="3" t="s">
        <v>18</v>
      </c>
      <c r="I152" s="1"/>
      <c r="J152" s="4" t="s">
        <v>25</v>
      </c>
      <c r="K152" s="4" t="s">
        <v>19</v>
      </c>
      <c r="L152" s="4" t="s">
        <v>26</v>
      </c>
    </row>
    <row r="153" ht="15.75" customHeight="1">
      <c r="A153" s="2">
        <v>157.0</v>
      </c>
      <c r="B153" s="1" t="s">
        <v>136</v>
      </c>
      <c r="C153" s="2">
        <v>5.70054374528E11</v>
      </c>
      <c r="D153" s="1" t="s">
        <v>530</v>
      </c>
      <c r="E153" s="1" t="s">
        <v>531</v>
      </c>
      <c r="F153" s="1" t="s">
        <v>532</v>
      </c>
      <c r="G153" s="1" t="s">
        <v>12</v>
      </c>
      <c r="H153" s="3" t="s">
        <v>18</v>
      </c>
      <c r="I153" s="1"/>
      <c r="J153" s="4" t="s">
        <v>25</v>
      </c>
      <c r="K153" s="4" t="s">
        <v>19</v>
      </c>
      <c r="L153" s="4" t="s">
        <v>26</v>
      </c>
    </row>
    <row r="154" ht="15.75" customHeight="1">
      <c r="A154" s="2">
        <v>158.0</v>
      </c>
      <c r="B154" s="1" t="s">
        <v>364</v>
      </c>
      <c r="C154" s="2">
        <v>5.70054374529E11</v>
      </c>
      <c r="D154" s="1" t="s">
        <v>533</v>
      </c>
      <c r="E154" s="1" t="s">
        <v>534</v>
      </c>
      <c r="F154" s="1" t="s">
        <v>535</v>
      </c>
      <c r="G154" s="1" t="s">
        <v>12</v>
      </c>
      <c r="H154" s="3" t="s">
        <v>18</v>
      </c>
      <c r="I154" s="1"/>
      <c r="J154" s="4" t="s">
        <v>25</v>
      </c>
      <c r="K154" s="4" t="s">
        <v>19</v>
      </c>
      <c r="L154" s="4" t="s">
        <v>26</v>
      </c>
    </row>
    <row r="155" ht="15.75" customHeight="1">
      <c r="A155" s="2">
        <v>159.0</v>
      </c>
      <c r="B155" s="1" t="s">
        <v>536</v>
      </c>
      <c r="C155" s="2">
        <v>5.70054374531E11</v>
      </c>
      <c r="D155" s="1" t="s">
        <v>537</v>
      </c>
      <c r="E155" s="1" t="s">
        <v>538</v>
      </c>
      <c r="F155" s="1" t="s">
        <v>539</v>
      </c>
      <c r="G155" s="1" t="s">
        <v>12</v>
      </c>
      <c r="H155" s="3" t="s">
        <v>18</v>
      </c>
      <c r="I155" s="1"/>
      <c r="J155" s="4" t="s">
        <v>25</v>
      </c>
      <c r="K155" s="4" t="s">
        <v>19</v>
      </c>
      <c r="L155" s="4" t="s">
        <v>26</v>
      </c>
    </row>
    <row r="156" ht="15.75" customHeight="1">
      <c r="A156" s="2">
        <v>160.0</v>
      </c>
      <c r="B156" s="1" t="s">
        <v>100</v>
      </c>
      <c r="C156" s="2">
        <v>5.70054374532E11</v>
      </c>
      <c r="D156" s="1" t="s">
        <v>540</v>
      </c>
      <c r="E156" s="1" t="s">
        <v>541</v>
      </c>
      <c r="F156" s="1" t="s">
        <v>173</v>
      </c>
      <c r="G156" s="1" t="s">
        <v>12</v>
      </c>
      <c r="H156" s="3" t="s">
        <v>18</v>
      </c>
      <c r="I156" s="1"/>
      <c r="J156" s="4" t="s">
        <v>25</v>
      </c>
      <c r="K156" s="4" t="s">
        <v>19</v>
      </c>
      <c r="L156" s="4" t="s">
        <v>26</v>
      </c>
    </row>
    <row r="157" ht="15.75" customHeight="1">
      <c r="A157" s="2">
        <v>161.0</v>
      </c>
      <c r="B157" s="1" t="s">
        <v>109</v>
      </c>
      <c r="C157" s="2">
        <v>5.70054374535E11</v>
      </c>
      <c r="D157" s="1" t="s">
        <v>542</v>
      </c>
      <c r="E157" s="1" t="s">
        <v>543</v>
      </c>
      <c r="F157" s="1" t="s">
        <v>544</v>
      </c>
      <c r="G157" s="1" t="s">
        <v>12</v>
      </c>
      <c r="H157" s="3" t="s">
        <v>18</v>
      </c>
      <c r="I157" s="1"/>
      <c r="J157" s="4" t="s">
        <v>25</v>
      </c>
      <c r="K157" s="4" t="s">
        <v>19</v>
      </c>
      <c r="L157" s="4" t="s">
        <v>26</v>
      </c>
    </row>
    <row r="158" ht="15.75" customHeight="1">
      <c r="A158" s="2">
        <v>162.0</v>
      </c>
      <c r="B158" s="1" t="s">
        <v>545</v>
      </c>
      <c r="C158" s="2">
        <v>5.70054374536E11</v>
      </c>
      <c r="D158" s="1" t="s">
        <v>546</v>
      </c>
      <c r="E158" s="1" t="s">
        <v>115</v>
      </c>
      <c r="F158" s="1" t="s">
        <v>547</v>
      </c>
      <c r="G158" s="1" t="s">
        <v>12</v>
      </c>
      <c r="H158" s="3" t="s">
        <v>18</v>
      </c>
      <c r="I158" s="1"/>
      <c r="J158" s="4" t="s">
        <v>25</v>
      </c>
      <c r="K158" s="4" t="s">
        <v>19</v>
      </c>
      <c r="L158" s="4" t="s">
        <v>26</v>
      </c>
    </row>
    <row r="159" ht="15.75" customHeight="1">
      <c r="A159" s="2">
        <v>163.0</v>
      </c>
      <c r="B159" s="1" t="s">
        <v>548</v>
      </c>
      <c r="C159" s="2">
        <v>5.70054374538E11</v>
      </c>
      <c r="D159" s="1" t="s">
        <v>549</v>
      </c>
      <c r="E159" s="1" t="s">
        <v>428</v>
      </c>
      <c r="F159" s="1" t="s">
        <v>550</v>
      </c>
      <c r="G159" s="1" t="s">
        <v>12</v>
      </c>
      <c r="H159" s="3" t="s">
        <v>18</v>
      </c>
      <c r="I159" s="1"/>
      <c r="J159" s="4" t="s">
        <v>25</v>
      </c>
      <c r="K159" s="4" t="s">
        <v>19</v>
      </c>
      <c r="L159" s="4" t="s">
        <v>26</v>
      </c>
    </row>
    <row r="160" ht="15.75" customHeight="1">
      <c r="A160" s="2">
        <v>164.0</v>
      </c>
      <c r="B160" s="1" t="s">
        <v>551</v>
      </c>
      <c r="C160" s="2">
        <v>5.7005437454E11</v>
      </c>
      <c r="D160" s="1" t="s">
        <v>552</v>
      </c>
      <c r="E160" s="1" t="s">
        <v>160</v>
      </c>
      <c r="F160" s="1" t="s">
        <v>553</v>
      </c>
      <c r="G160" s="1" t="s">
        <v>12</v>
      </c>
      <c r="H160" s="3" t="s">
        <v>18</v>
      </c>
      <c r="I160" s="1"/>
    </row>
    <row r="161" ht="15.75" customHeight="1">
      <c r="A161" s="2">
        <v>165.0</v>
      </c>
      <c r="B161" s="1" t="s">
        <v>249</v>
      </c>
      <c r="C161" s="2">
        <v>5.70054374544E11</v>
      </c>
      <c r="D161" s="1" t="s">
        <v>393</v>
      </c>
      <c r="E161" s="1" t="s">
        <v>554</v>
      </c>
      <c r="F161" s="1" t="s">
        <v>555</v>
      </c>
      <c r="G161" s="1" t="s">
        <v>12</v>
      </c>
      <c r="H161" s="3" t="s">
        <v>18</v>
      </c>
      <c r="I161" s="1"/>
    </row>
    <row r="162" ht="15.75" customHeight="1">
      <c r="A162" s="2">
        <v>166.0</v>
      </c>
      <c r="B162" s="1" t="s">
        <v>412</v>
      </c>
      <c r="C162" s="2">
        <v>5.70054374548E11</v>
      </c>
      <c r="D162" s="1" t="s">
        <v>556</v>
      </c>
      <c r="E162" s="1" t="s">
        <v>164</v>
      </c>
      <c r="F162" s="1" t="s">
        <v>557</v>
      </c>
      <c r="G162" s="1" t="s">
        <v>12</v>
      </c>
      <c r="H162" s="3" t="s">
        <v>18</v>
      </c>
      <c r="I162" s="1"/>
    </row>
    <row r="163" ht="15.75" customHeight="1">
      <c r="A163" s="2">
        <v>167.0</v>
      </c>
      <c r="B163" s="1" t="s">
        <v>93</v>
      </c>
      <c r="C163" s="2">
        <v>5.7005437455E11</v>
      </c>
      <c r="D163" s="1" t="s">
        <v>558</v>
      </c>
      <c r="E163" s="1" t="s">
        <v>559</v>
      </c>
      <c r="F163" s="1" t="s">
        <v>560</v>
      </c>
      <c r="G163" s="1" t="s">
        <v>12</v>
      </c>
      <c r="H163" s="3" t="s">
        <v>18</v>
      </c>
      <c r="I163" s="1"/>
    </row>
    <row r="164" ht="15.75" customHeight="1">
      <c r="A164" s="2">
        <v>168.0</v>
      </c>
      <c r="B164" s="1" t="s">
        <v>561</v>
      </c>
      <c r="C164" s="2">
        <v>5.70054374553E11</v>
      </c>
      <c r="D164" s="1" t="s">
        <v>562</v>
      </c>
      <c r="E164" s="1" t="s">
        <v>167</v>
      </c>
      <c r="F164" s="1" t="s">
        <v>181</v>
      </c>
      <c r="G164" s="1" t="s">
        <v>12</v>
      </c>
      <c r="H164" s="3" t="s">
        <v>18</v>
      </c>
      <c r="I164" s="1"/>
    </row>
    <row r="165" ht="15.75" customHeight="1">
      <c r="A165" s="2">
        <v>169.0</v>
      </c>
      <c r="B165" s="1" t="s">
        <v>418</v>
      </c>
      <c r="C165" s="2">
        <v>5.70054374554E11</v>
      </c>
      <c r="D165" s="1" t="s">
        <v>563</v>
      </c>
      <c r="E165" s="1" t="s">
        <v>564</v>
      </c>
      <c r="F165" s="1" t="s">
        <v>523</v>
      </c>
      <c r="G165" s="1" t="s">
        <v>12</v>
      </c>
      <c r="H165" s="3" t="s">
        <v>18</v>
      </c>
      <c r="I165" s="1"/>
    </row>
    <row r="166" ht="15.75" customHeight="1">
      <c r="A166" s="2">
        <v>170.0</v>
      </c>
      <c r="B166" s="1" t="s">
        <v>565</v>
      </c>
      <c r="C166" s="2">
        <v>5.7005437456E11</v>
      </c>
      <c r="D166" s="1" t="s">
        <v>566</v>
      </c>
      <c r="E166" s="1" t="s">
        <v>366</v>
      </c>
      <c r="F166" s="1" t="s">
        <v>567</v>
      </c>
      <c r="G166" s="1" t="s">
        <v>12</v>
      </c>
      <c r="H166" s="3" t="s">
        <v>18</v>
      </c>
      <c r="I166" s="1"/>
    </row>
    <row r="167" ht="15.75" customHeight="1">
      <c r="A167" s="2">
        <v>171.0</v>
      </c>
      <c r="B167" s="1" t="s">
        <v>568</v>
      </c>
      <c r="C167" s="2">
        <v>5.70054374561E11</v>
      </c>
      <c r="D167" s="1" t="s">
        <v>569</v>
      </c>
      <c r="E167" s="1" t="s">
        <v>570</v>
      </c>
      <c r="F167" s="1" t="s">
        <v>571</v>
      </c>
      <c r="G167" s="1" t="s">
        <v>572</v>
      </c>
      <c r="H167" s="3" t="s">
        <v>18</v>
      </c>
      <c r="I167" s="1"/>
    </row>
    <row r="168" ht="15.75" customHeight="1">
      <c r="A168" s="2">
        <v>172.0</v>
      </c>
      <c r="B168" s="1" t="s">
        <v>59</v>
      </c>
      <c r="C168" s="2">
        <v>5.70054374563E11</v>
      </c>
      <c r="D168" s="1" t="s">
        <v>573</v>
      </c>
      <c r="E168" s="1" t="s">
        <v>396</v>
      </c>
      <c r="F168" s="1" t="s">
        <v>574</v>
      </c>
      <c r="G168" s="1" t="s">
        <v>12</v>
      </c>
      <c r="H168" s="3" t="s">
        <v>18</v>
      </c>
      <c r="I168" s="1"/>
    </row>
    <row r="169" ht="15.75" customHeight="1">
      <c r="A169" s="2">
        <v>173.0</v>
      </c>
      <c r="B169" s="1" t="s">
        <v>575</v>
      </c>
      <c r="C169" s="2">
        <v>5.70054374564E11</v>
      </c>
      <c r="D169" s="1" t="s">
        <v>576</v>
      </c>
      <c r="E169" s="1" t="s">
        <v>577</v>
      </c>
      <c r="F169" s="1" t="s">
        <v>578</v>
      </c>
      <c r="G169" s="1" t="s">
        <v>12</v>
      </c>
      <c r="H169" s="3" t="s">
        <v>18</v>
      </c>
      <c r="I169" s="1"/>
    </row>
    <row r="170" ht="15.75" customHeight="1">
      <c r="A170" s="2">
        <v>174.0</v>
      </c>
      <c r="B170" s="1" t="s">
        <v>579</v>
      </c>
      <c r="C170" s="2">
        <v>5.70054374571E11</v>
      </c>
      <c r="D170" s="1" t="s">
        <v>580</v>
      </c>
      <c r="E170" s="1" t="s">
        <v>581</v>
      </c>
      <c r="F170" s="1" t="s">
        <v>582</v>
      </c>
      <c r="G170" s="1" t="s">
        <v>12</v>
      </c>
      <c r="H170" s="3" t="s">
        <v>18</v>
      </c>
      <c r="I170" s="1"/>
    </row>
    <row r="171" ht="15.75" customHeight="1">
      <c r="A171" s="2">
        <v>175.0</v>
      </c>
      <c r="B171" s="1" t="s">
        <v>583</v>
      </c>
      <c r="C171" s="2">
        <v>5.70054374573E11</v>
      </c>
      <c r="D171" s="1" t="s">
        <v>584</v>
      </c>
      <c r="E171" s="1" t="s">
        <v>381</v>
      </c>
      <c r="F171" s="1" t="s">
        <v>585</v>
      </c>
      <c r="G171" s="1" t="s">
        <v>12</v>
      </c>
      <c r="H171" s="3" t="s">
        <v>18</v>
      </c>
      <c r="I171" s="1"/>
    </row>
    <row r="172" ht="15.75" customHeight="1">
      <c r="A172" s="2">
        <v>176.0</v>
      </c>
      <c r="B172" s="1" t="s">
        <v>55</v>
      </c>
      <c r="C172" s="2">
        <v>5.70054374576E11</v>
      </c>
      <c r="D172" s="1" t="s">
        <v>586</v>
      </c>
      <c r="E172" s="1" t="s">
        <v>587</v>
      </c>
      <c r="F172" s="1" t="s">
        <v>588</v>
      </c>
      <c r="G172" s="1" t="s">
        <v>12</v>
      </c>
      <c r="H172" s="3" t="s">
        <v>18</v>
      </c>
      <c r="I172" s="1"/>
    </row>
    <row r="173" ht="15.75" customHeight="1">
      <c r="A173" s="2">
        <v>177.0</v>
      </c>
      <c r="B173" s="1" t="s">
        <v>589</v>
      </c>
      <c r="C173" s="2">
        <v>5.70054374577E11</v>
      </c>
      <c r="D173" s="1" t="s">
        <v>590</v>
      </c>
      <c r="E173" s="1" t="s">
        <v>591</v>
      </c>
      <c r="F173" s="1" t="s">
        <v>592</v>
      </c>
      <c r="G173" s="1" t="s">
        <v>12</v>
      </c>
      <c r="H173" s="3" t="s">
        <v>18</v>
      </c>
      <c r="I173" s="1"/>
    </row>
    <row r="174" ht="15.75" customHeight="1">
      <c r="A174" s="2">
        <v>178.0</v>
      </c>
      <c r="B174" s="1" t="s">
        <v>276</v>
      </c>
      <c r="C174" s="2">
        <v>5.70054374578E11</v>
      </c>
      <c r="D174" s="1" t="s">
        <v>593</v>
      </c>
      <c r="E174" s="1" t="s">
        <v>594</v>
      </c>
      <c r="F174" s="1" t="s">
        <v>595</v>
      </c>
      <c r="G174" s="1" t="s">
        <v>12</v>
      </c>
      <c r="H174" s="3" t="s">
        <v>18</v>
      </c>
      <c r="I174" s="1"/>
    </row>
    <row r="175" ht="15.75" customHeight="1">
      <c r="A175" s="2">
        <v>179.0</v>
      </c>
      <c r="B175" s="1" t="s">
        <v>596</v>
      </c>
      <c r="C175" s="2">
        <v>5.70054374584E11</v>
      </c>
      <c r="D175" s="1" t="s">
        <v>597</v>
      </c>
      <c r="E175" s="1" t="s">
        <v>74</v>
      </c>
      <c r="F175" s="1" t="s">
        <v>598</v>
      </c>
      <c r="G175" s="1" t="s">
        <v>12</v>
      </c>
      <c r="H175" s="3" t="s">
        <v>18</v>
      </c>
      <c r="I175" s="1"/>
    </row>
    <row r="176" ht="15.75" customHeight="1">
      <c r="A176" s="2">
        <v>180.0</v>
      </c>
      <c r="B176" s="1" t="s">
        <v>599</v>
      </c>
      <c r="C176" s="2">
        <v>5.700543754642E12</v>
      </c>
      <c r="D176" s="1" t="s">
        <v>600</v>
      </c>
      <c r="E176" s="1" t="s">
        <v>601</v>
      </c>
      <c r="F176" s="1" t="s">
        <v>602</v>
      </c>
      <c r="G176" s="1" t="s">
        <v>603</v>
      </c>
      <c r="H176" s="3" t="s">
        <v>18</v>
      </c>
      <c r="I176" s="1"/>
    </row>
    <row r="177" ht="15.75" customHeight="1">
      <c r="A177" s="2">
        <v>181.0</v>
      </c>
      <c r="B177" s="1" t="s">
        <v>604</v>
      </c>
      <c r="C177" s="2">
        <v>5.700543754648E12</v>
      </c>
      <c r="D177" s="1" t="s">
        <v>605</v>
      </c>
      <c r="E177" s="1" t="s">
        <v>606</v>
      </c>
      <c r="F177" s="1" t="s">
        <v>607</v>
      </c>
      <c r="G177" s="1" t="s">
        <v>603</v>
      </c>
      <c r="H177" s="3" t="s">
        <v>18</v>
      </c>
      <c r="I177" s="1"/>
    </row>
    <row r="178" ht="15.75" customHeight="1">
      <c r="A178" s="2">
        <v>182.0</v>
      </c>
      <c r="B178" s="1" t="s">
        <v>608</v>
      </c>
      <c r="C178" s="2">
        <v>5.7005437546652E13</v>
      </c>
      <c r="D178" s="1" t="s">
        <v>609</v>
      </c>
      <c r="E178" s="1" t="s">
        <v>610</v>
      </c>
      <c r="F178" s="1" t="s">
        <v>611</v>
      </c>
      <c r="G178" s="1" t="s">
        <v>603</v>
      </c>
      <c r="H178" s="3" t="s">
        <v>18</v>
      </c>
      <c r="I178" s="1"/>
    </row>
    <row r="179" ht="15.75" customHeight="1">
      <c r="A179" s="2">
        <v>183.0</v>
      </c>
      <c r="B179" s="1" t="s">
        <v>612</v>
      </c>
      <c r="C179" s="2">
        <v>5.700543754654E12</v>
      </c>
      <c r="D179" s="1" t="s">
        <v>613</v>
      </c>
      <c r="E179" s="1" t="s">
        <v>614</v>
      </c>
      <c r="F179" s="1" t="s">
        <v>615</v>
      </c>
      <c r="G179" s="1" t="s">
        <v>603</v>
      </c>
      <c r="H179" s="3" t="s">
        <v>18</v>
      </c>
      <c r="I179" s="1"/>
    </row>
    <row r="180" ht="15.75" customHeight="1">
      <c r="A180" s="2">
        <v>184.0</v>
      </c>
      <c r="B180" s="1" t="s">
        <v>616</v>
      </c>
      <c r="C180" s="2">
        <v>5.700543757001E12</v>
      </c>
      <c r="D180" s="1" t="s">
        <v>617</v>
      </c>
      <c r="E180" s="1" t="s">
        <v>235</v>
      </c>
      <c r="F180" s="1" t="s">
        <v>618</v>
      </c>
      <c r="G180" s="1" t="s">
        <v>603</v>
      </c>
      <c r="H180" s="3" t="s">
        <v>18</v>
      </c>
      <c r="I180" s="1"/>
    </row>
    <row r="181" ht="15.75" customHeight="1">
      <c r="A181" s="2">
        <v>185.0</v>
      </c>
      <c r="B181" s="1" t="s">
        <v>619</v>
      </c>
      <c r="C181" s="2">
        <v>5.700543757002E12</v>
      </c>
      <c r="D181" s="1" t="s">
        <v>620</v>
      </c>
      <c r="E181" s="1" t="s">
        <v>621</v>
      </c>
      <c r="F181" s="1" t="s">
        <v>622</v>
      </c>
      <c r="G181" s="1" t="s">
        <v>603</v>
      </c>
      <c r="H181" s="3" t="s">
        <v>18</v>
      </c>
      <c r="I181" s="1"/>
    </row>
    <row r="182" ht="15.75" customHeight="1">
      <c r="A182" s="2">
        <v>186.0</v>
      </c>
      <c r="B182" s="1" t="s">
        <v>612</v>
      </c>
      <c r="C182" s="2">
        <v>5.700543757004E12</v>
      </c>
      <c r="D182" s="1" t="s">
        <v>623</v>
      </c>
      <c r="E182" s="1" t="s">
        <v>325</v>
      </c>
      <c r="F182" s="1" t="s">
        <v>624</v>
      </c>
      <c r="G182" s="1" t="s">
        <v>603</v>
      </c>
      <c r="H182" s="3" t="s">
        <v>18</v>
      </c>
      <c r="I182" s="1"/>
    </row>
    <row r="183" ht="15.75" customHeight="1">
      <c r="A183" s="2">
        <v>187.0</v>
      </c>
      <c r="B183" s="1" t="s">
        <v>625</v>
      </c>
      <c r="C183" s="2">
        <v>5.700543757005E12</v>
      </c>
      <c r="D183" s="1" t="s">
        <v>626</v>
      </c>
      <c r="E183" s="1" t="s">
        <v>627</v>
      </c>
      <c r="F183" s="1" t="s">
        <v>628</v>
      </c>
      <c r="G183" s="1" t="s">
        <v>603</v>
      </c>
      <c r="H183" s="3" t="s">
        <v>18</v>
      </c>
      <c r="I183" s="1"/>
    </row>
    <row r="184" ht="15.75" customHeight="1">
      <c r="A184" s="2">
        <v>188.0</v>
      </c>
      <c r="B184" s="1" t="s">
        <v>629</v>
      </c>
      <c r="C184" s="2">
        <v>5.700543757006E12</v>
      </c>
      <c r="D184" s="1" t="s">
        <v>271</v>
      </c>
      <c r="E184" s="1" t="s">
        <v>268</v>
      </c>
      <c r="F184" s="1" t="s">
        <v>630</v>
      </c>
      <c r="G184" s="1" t="s">
        <v>603</v>
      </c>
      <c r="H184" s="3" t="s">
        <v>18</v>
      </c>
      <c r="I184" s="1"/>
    </row>
    <row r="185" ht="15.75" customHeight="1">
      <c r="A185" s="2">
        <v>189.0</v>
      </c>
      <c r="B185" s="1" t="s">
        <v>631</v>
      </c>
      <c r="C185" s="2">
        <v>5.700543757007E12</v>
      </c>
      <c r="D185" s="1" t="s">
        <v>632</v>
      </c>
      <c r="E185" s="1" t="s">
        <v>260</v>
      </c>
      <c r="F185" s="1" t="s">
        <v>633</v>
      </c>
      <c r="G185" s="1" t="s">
        <v>603</v>
      </c>
      <c r="H185" s="3" t="s">
        <v>18</v>
      </c>
      <c r="I185" s="1"/>
    </row>
    <row r="186" ht="15.75" customHeight="1">
      <c r="A186" s="2">
        <v>190.0</v>
      </c>
      <c r="B186" s="1" t="s">
        <v>634</v>
      </c>
      <c r="C186" s="2">
        <v>5.700543757008E12</v>
      </c>
      <c r="D186" s="1" t="s">
        <v>635</v>
      </c>
      <c r="E186" s="1" t="s">
        <v>636</v>
      </c>
      <c r="F186" s="1" t="s">
        <v>637</v>
      </c>
      <c r="G186" s="1" t="s">
        <v>603</v>
      </c>
      <c r="H186" s="3" t="s">
        <v>18</v>
      </c>
      <c r="I186" s="1"/>
    </row>
    <row r="187" ht="15.75" customHeight="1">
      <c r="A187" s="2">
        <v>191.0</v>
      </c>
      <c r="B187" s="1" t="s">
        <v>638</v>
      </c>
      <c r="C187" s="2">
        <v>5.70054375701E11</v>
      </c>
      <c r="D187" s="1" t="s">
        <v>639</v>
      </c>
      <c r="E187" s="1" t="s">
        <v>462</v>
      </c>
      <c r="F187" s="1" t="s">
        <v>640</v>
      </c>
      <c r="G187" s="1" t="s">
        <v>603</v>
      </c>
      <c r="H187" s="3" t="s">
        <v>18</v>
      </c>
      <c r="I187" s="1"/>
    </row>
    <row r="188" ht="15.75" customHeight="1">
      <c r="A188" s="2">
        <v>192.0</v>
      </c>
      <c r="B188" s="1" t="s">
        <v>641</v>
      </c>
      <c r="C188" s="2">
        <v>5.700543757013E12</v>
      </c>
      <c r="D188" s="1" t="s">
        <v>642</v>
      </c>
      <c r="E188" s="1" t="s">
        <v>643</v>
      </c>
      <c r="F188" s="1" t="s">
        <v>644</v>
      </c>
      <c r="G188" s="1" t="s">
        <v>603</v>
      </c>
      <c r="H188" s="3" t="s">
        <v>18</v>
      </c>
      <c r="I188" s="1"/>
    </row>
    <row r="189" ht="15.75" customHeight="1">
      <c r="A189" s="2">
        <v>193.0</v>
      </c>
      <c r="B189" s="1" t="s">
        <v>645</v>
      </c>
      <c r="C189" s="2">
        <v>5.700543757014E12</v>
      </c>
      <c r="D189" s="1" t="s">
        <v>646</v>
      </c>
      <c r="E189" s="1" t="s">
        <v>647</v>
      </c>
      <c r="F189" s="1" t="s">
        <v>648</v>
      </c>
      <c r="G189" s="1" t="s">
        <v>603</v>
      </c>
      <c r="H189" s="3" t="s">
        <v>18</v>
      </c>
      <c r="I189" s="1"/>
    </row>
    <row r="190" ht="15.75" customHeight="1">
      <c r="A190" s="2">
        <v>194.0</v>
      </c>
      <c r="B190" s="1"/>
      <c r="C190" s="1"/>
      <c r="D190" s="1"/>
      <c r="E190" s="1"/>
      <c r="F190" s="1"/>
      <c r="G190" s="1"/>
      <c r="H190" s="1" t="s">
        <v>649</v>
      </c>
      <c r="I190" s="1"/>
    </row>
    <row r="191" ht="15.75" customHeight="1">
      <c r="A191" s="2">
        <v>195.0</v>
      </c>
      <c r="B191" s="1" t="s">
        <v>650</v>
      </c>
      <c r="C191" s="2">
        <v>5.700543757024E12</v>
      </c>
      <c r="D191" s="1" t="s">
        <v>651</v>
      </c>
      <c r="E191" s="1" t="s">
        <v>652</v>
      </c>
      <c r="F191" s="1" t="s">
        <v>653</v>
      </c>
      <c r="G191" s="1" t="s">
        <v>603</v>
      </c>
      <c r="H191" s="3" t="s">
        <v>18</v>
      </c>
      <c r="I191" s="1"/>
    </row>
    <row r="192" ht="15.75" customHeight="1">
      <c r="A192" s="2">
        <v>196.0</v>
      </c>
      <c r="B192" s="1" t="s">
        <v>654</v>
      </c>
      <c r="C192" s="2">
        <v>5.700543757028E12</v>
      </c>
      <c r="D192" s="1" t="s">
        <v>655</v>
      </c>
      <c r="E192" s="1" t="s">
        <v>656</v>
      </c>
      <c r="F192" s="1" t="s">
        <v>657</v>
      </c>
      <c r="G192" s="1" t="s">
        <v>603</v>
      </c>
      <c r="H192" s="3" t="s">
        <v>18</v>
      </c>
      <c r="I192" s="1"/>
    </row>
    <row r="193" ht="15.75" customHeight="1">
      <c r="A193" s="2">
        <v>197.0</v>
      </c>
      <c r="B193" s="1" t="s">
        <v>658</v>
      </c>
      <c r="C193" s="2">
        <v>5.700543757029E12</v>
      </c>
      <c r="D193" s="1" t="s">
        <v>659</v>
      </c>
      <c r="E193" s="1" t="s">
        <v>660</v>
      </c>
      <c r="F193" s="1" t="s">
        <v>661</v>
      </c>
      <c r="G193" s="1" t="s">
        <v>603</v>
      </c>
      <c r="H193" s="3" t="s">
        <v>18</v>
      </c>
      <c r="I193" s="1"/>
    </row>
    <row r="194" ht="15.75" customHeight="1">
      <c r="A194" s="2">
        <v>198.0</v>
      </c>
      <c r="B194" s="1" t="s">
        <v>654</v>
      </c>
      <c r="C194" s="2">
        <v>5.70054375703E12</v>
      </c>
      <c r="D194" s="1" t="s">
        <v>662</v>
      </c>
      <c r="E194" s="1" t="s">
        <v>663</v>
      </c>
      <c r="F194" s="1" t="s">
        <v>664</v>
      </c>
      <c r="G194" s="1" t="s">
        <v>603</v>
      </c>
      <c r="H194" s="3" t="s">
        <v>18</v>
      </c>
      <c r="I194" s="1"/>
    </row>
    <row r="195" ht="15.75" customHeight="1">
      <c r="A195" s="2">
        <v>199.0</v>
      </c>
      <c r="B195" s="1" t="s">
        <v>665</v>
      </c>
      <c r="C195" s="2">
        <v>5.700543757033E12</v>
      </c>
      <c r="D195" s="1" t="s">
        <v>666</v>
      </c>
      <c r="E195" s="1" t="s">
        <v>667</v>
      </c>
      <c r="F195" s="1" t="s">
        <v>668</v>
      </c>
      <c r="G195" s="1" t="s">
        <v>603</v>
      </c>
      <c r="H195" s="3" t="s">
        <v>18</v>
      </c>
      <c r="I195" s="1"/>
    </row>
    <row r="196" ht="15.75" customHeight="1">
      <c r="A196" s="2">
        <v>200.0</v>
      </c>
      <c r="B196" s="1" t="s">
        <v>669</v>
      </c>
      <c r="C196" s="2">
        <v>5.700543757034E12</v>
      </c>
      <c r="D196" s="1" t="s">
        <v>670</v>
      </c>
      <c r="E196" s="1" t="s">
        <v>671</v>
      </c>
      <c r="F196" s="1" t="s">
        <v>672</v>
      </c>
      <c r="G196" s="1" t="s">
        <v>603</v>
      </c>
      <c r="H196" s="3" t="s">
        <v>18</v>
      </c>
      <c r="I196" s="1"/>
    </row>
    <row r="197" ht="15.75" customHeight="1">
      <c r="A197" s="2">
        <v>201.0</v>
      </c>
      <c r="B197" s="1" t="s">
        <v>673</v>
      </c>
      <c r="C197" s="2">
        <v>5.700543757035E12</v>
      </c>
      <c r="D197" s="1" t="s">
        <v>674</v>
      </c>
      <c r="E197" s="1" t="s">
        <v>675</v>
      </c>
      <c r="F197" s="1" t="s">
        <v>676</v>
      </c>
      <c r="G197" s="1" t="s">
        <v>603</v>
      </c>
      <c r="H197" s="3" t="s">
        <v>18</v>
      </c>
      <c r="I197" s="1"/>
    </row>
    <row r="198" ht="15.75" customHeight="1">
      <c r="A198" s="2">
        <v>202.0</v>
      </c>
      <c r="B198" s="1" t="s">
        <v>677</v>
      </c>
      <c r="C198" s="2">
        <v>5.700543757036E12</v>
      </c>
      <c r="D198" s="1" t="s">
        <v>678</v>
      </c>
      <c r="E198" s="1" t="s">
        <v>679</v>
      </c>
      <c r="F198" s="1" t="s">
        <v>680</v>
      </c>
      <c r="G198" s="1" t="s">
        <v>603</v>
      </c>
      <c r="H198" s="3" t="s">
        <v>18</v>
      </c>
      <c r="I198" s="1"/>
    </row>
    <row r="199" ht="15.75" customHeight="1">
      <c r="A199" s="2">
        <v>203.0</v>
      </c>
      <c r="B199" s="1"/>
      <c r="C199" s="1"/>
      <c r="D199" s="1"/>
      <c r="E199" s="1"/>
      <c r="F199" s="1"/>
      <c r="G199" s="1"/>
      <c r="H199" s="1" t="s">
        <v>649</v>
      </c>
      <c r="I199" s="1"/>
    </row>
    <row r="200" ht="15.75" customHeight="1">
      <c r="A200" s="2">
        <v>204.0</v>
      </c>
      <c r="B200" s="1" t="s">
        <v>681</v>
      </c>
      <c r="C200" s="2">
        <v>5.700543757039E12</v>
      </c>
      <c r="D200" s="1" t="s">
        <v>682</v>
      </c>
      <c r="E200" s="1" t="s">
        <v>683</v>
      </c>
      <c r="F200" s="1" t="s">
        <v>684</v>
      </c>
      <c r="G200" s="1" t="s">
        <v>603</v>
      </c>
      <c r="H200" s="3" t="s">
        <v>18</v>
      </c>
      <c r="I200" s="1"/>
    </row>
    <row r="201" ht="15.75" customHeight="1">
      <c r="A201" s="2">
        <v>205.0</v>
      </c>
      <c r="B201" s="1" t="s">
        <v>685</v>
      </c>
      <c r="C201" s="2">
        <v>5.700543757042E12</v>
      </c>
      <c r="D201" s="1" t="s">
        <v>686</v>
      </c>
      <c r="E201" s="1" t="s">
        <v>687</v>
      </c>
      <c r="F201" s="1" t="s">
        <v>688</v>
      </c>
      <c r="G201" s="1" t="s">
        <v>603</v>
      </c>
      <c r="H201" s="3" t="s">
        <v>18</v>
      </c>
      <c r="I201" s="1"/>
    </row>
    <row r="202" ht="15.75" customHeight="1">
      <c r="A202" s="2">
        <v>206.0</v>
      </c>
      <c r="B202" s="1" t="s">
        <v>689</v>
      </c>
      <c r="C202" s="2">
        <v>5.700543757043E12</v>
      </c>
      <c r="D202" s="1" t="s">
        <v>690</v>
      </c>
      <c r="E202" s="1" t="s">
        <v>81</v>
      </c>
      <c r="F202" s="1" t="s">
        <v>691</v>
      </c>
      <c r="G202" s="1" t="s">
        <v>603</v>
      </c>
      <c r="H202" s="3" t="s">
        <v>18</v>
      </c>
      <c r="I202" s="1"/>
    </row>
    <row r="203" ht="15.75" customHeight="1">
      <c r="A203" s="2">
        <v>207.0</v>
      </c>
      <c r="B203" s="1" t="s">
        <v>692</v>
      </c>
      <c r="C203" s="2">
        <v>5.700543757046E12</v>
      </c>
      <c r="D203" s="1" t="s">
        <v>693</v>
      </c>
      <c r="E203" s="1" t="s">
        <v>694</v>
      </c>
      <c r="F203" s="1" t="s">
        <v>695</v>
      </c>
      <c r="G203" s="1" t="s">
        <v>603</v>
      </c>
      <c r="H203" s="3" t="s">
        <v>18</v>
      </c>
      <c r="I203" s="1"/>
    </row>
    <row r="204" ht="15.75" customHeight="1">
      <c r="A204" s="2">
        <v>208.0</v>
      </c>
      <c r="B204" s="1" t="s">
        <v>696</v>
      </c>
      <c r="C204" s="2">
        <v>5.700543757047E12</v>
      </c>
      <c r="D204" s="1" t="s">
        <v>697</v>
      </c>
      <c r="E204" s="1" t="s">
        <v>698</v>
      </c>
      <c r="F204" s="1" t="s">
        <v>699</v>
      </c>
      <c r="G204" s="1" t="s">
        <v>603</v>
      </c>
      <c r="H204" s="3" t="s">
        <v>18</v>
      </c>
      <c r="I204" s="1"/>
    </row>
    <row r="205" ht="15.75" customHeight="1">
      <c r="A205" s="2">
        <v>209.0</v>
      </c>
      <c r="B205" s="1" t="s">
        <v>700</v>
      </c>
      <c r="C205" s="2">
        <v>5.700543757048E12</v>
      </c>
      <c r="D205" s="1" t="s">
        <v>639</v>
      </c>
      <c r="E205" s="1" t="s">
        <v>701</v>
      </c>
      <c r="F205" s="1" t="s">
        <v>702</v>
      </c>
      <c r="G205" s="1" t="s">
        <v>603</v>
      </c>
      <c r="H205" s="3" t="s">
        <v>18</v>
      </c>
      <c r="I205" s="1"/>
    </row>
    <row r="206" ht="15.75" customHeight="1">
      <c r="A206" s="2">
        <v>210.0</v>
      </c>
      <c r="B206" s="1"/>
      <c r="C206" s="1"/>
      <c r="D206" s="1"/>
      <c r="E206" s="1"/>
      <c r="F206" s="1"/>
      <c r="G206" s="1"/>
      <c r="H206" s="1" t="s">
        <v>649</v>
      </c>
      <c r="I206" s="1"/>
    </row>
    <row r="207" ht="15.75" customHeight="1">
      <c r="A207" s="2">
        <v>211.0</v>
      </c>
      <c r="B207" s="1" t="s">
        <v>703</v>
      </c>
      <c r="C207" s="2">
        <v>5.700543757058E12</v>
      </c>
      <c r="D207" s="1" t="s">
        <v>704</v>
      </c>
      <c r="E207" s="1" t="s">
        <v>705</v>
      </c>
      <c r="F207" s="1" t="s">
        <v>706</v>
      </c>
      <c r="G207" s="1" t="s">
        <v>603</v>
      </c>
      <c r="H207" s="3" t="s">
        <v>18</v>
      </c>
      <c r="I207" s="1"/>
    </row>
    <row r="208" ht="15.75" customHeight="1">
      <c r="A208" s="2">
        <v>212.0</v>
      </c>
      <c r="B208" s="1" t="s">
        <v>707</v>
      </c>
      <c r="C208" s="2">
        <v>5.700543757062E12</v>
      </c>
      <c r="D208" s="1" t="s">
        <v>708</v>
      </c>
      <c r="E208" s="1" t="s">
        <v>709</v>
      </c>
      <c r="F208" s="1" t="s">
        <v>710</v>
      </c>
      <c r="G208" s="1" t="s">
        <v>603</v>
      </c>
      <c r="H208" s="3" t="s">
        <v>18</v>
      </c>
      <c r="I208" s="1"/>
    </row>
    <row r="209" ht="15.75" customHeight="1">
      <c r="A209" s="2">
        <v>213.0</v>
      </c>
      <c r="B209" s="1" t="s">
        <v>689</v>
      </c>
      <c r="C209" s="2">
        <v>5.700543757064E12</v>
      </c>
      <c r="D209" s="1" t="s">
        <v>711</v>
      </c>
      <c r="E209" s="1" t="s">
        <v>712</v>
      </c>
      <c r="F209" s="1" t="s">
        <v>713</v>
      </c>
      <c r="G209" s="1" t="s">
        <v>603</v>
      </c>
      <c r="H209" s="3" t="s">
        <v>18</v>
      </c>
      <c r="I209" s="1"/>
    </row>
    <row r="210" ht="15.75" customHeight="1">
      <c r="A210" s="2">
        <v>214.0</v>
      </c>
      <c r="B210" s="1" t="s">
        <v>714</v>
      </c>
      <c r="C210" s="2">
        <v>5.700543757066E12</v>
      </c>
      <c r="D210" s="1" t="s">
        <v>715</v>
      </c>
      <c r="E210" s="1" t="s">
        <v>716</v>
      </c>
      <c r="F210" s="1" t="s">
        <v>717</v>
      </c>
      <c r="G210" s="1" t="s">
        <v>603</v>
      </c>
      <c r="H210" s="3" t="s">
        <v>18</v>
      </c>
      <c r="I210" s="1"/>
    </row>
    <row r="211" ht="15.75" customHeight="1">
      <c r="A211" s="2">
        <v>215.0</v>
      </c>
      <c r="B211" s="1" t="s">
        <v>718</v>
      </c>
      <c r="C211" s="2">
        <v>5.70054375707E12</v>
      </c>
      <c r="D211" s="1" t="s">
        <v>719</v>
      </c>
      <c r="E211" s="1" t="s">
        <v>720</v>
      </c>
      <c r="F211" s="1" t="s">
        <v>721</v>
      </c>
      <c r="G211" s="1" t="s">
        <v>722</v>
      </c>
      <c r="H211" s="3" t="s">
        <v>18</v>
      </c>
      <c r="I211" s="1"/>
    </row>
    <row r="212" ht="15.75" customHeight="1">
      <c r="A212" s="2">
        <v>216.0</v>
      </c>
      <c r="B212" s="1"/>
      <c r="C212" s="1"/>
      <c r="D212" s="1"/>
      <c r="E212" s="1"/>
      <c r="F212" s="1"/>
      <c r="G212" s="1"/>
      <c r="H212" s="1" t="s">
        <v>649</v>
      </c>
      <c r="I212" s="1"/>
    </row>
    <row r="213" ht="15.75" customHeight="1">
      <c r="A213" s="2">
        <v>217.0</v>
      </c>
      <c r="B213" s="1" t="s">
        <v>723</v>
      </c>
      <c r="C213" s="2">
        <v>5.700543757072E12</v>
      </c>
      <c r="D213" s="1" t="s">
        <v>724</v>
      </c>
      <c r="E213" s="1" t="s">
        <v>725</v>
      </c>
      <c r="F213" s="1" t="s">
        <v>726</v>
      </c>
      <c r="G213" s="1" t="s">
        <v>603</v>
      </c>
      <c r="H213" s="3" t="s">
        <v>18</v>
      </c>
      <c r="I213" s="1"/>
    </row>
    <row r="214" ht="15.75" customHeight="1">
      <c r="A214" s="2">
        <v>218.0</v>
      </c>
      <c r="B214" s="1" t="s">
        <v>727</v>
      </c>
      <c r="C214" s="2">
        <v>5.700543757075E12</v>
      </c>
      <c r="D214" s="1" t="s">
        <v>728</v>
      </c>
      <c r="E214" s="1" t="s">
        <v>729</v>
      </c>
      <c r="F214" s="1" t="s">
        <v>730</v>
      </c>
      <c r="G214" s="1" t="s">
        <v>603</v>
      </c>
      <c r="H214" s="3" t="s">
        <v>18</v>
      </c>
      <c r="I214" s="1"/>
    </row>
    <row r="215" ht="15.75" customHeight="1">
      <c r="A215" s="2">
        <v>219.0</v>
      </c>
      <c r="B215" s="1" t="s">
        <v>731</v>
      </c>
      <c r="C215" s="2">
        <v>5.700543757077E12</v>
      </c>
      <c r="D215" s="1" t="s">
        <v>732</v>
      </c>
      <c r="E215" s="1" t="s">
        <v>206</v>
      </c>
      <c r="F215" s="1" t="s">
        <v>733</v>
      </c>
      <c r="G215" s="1" t="s">
        <v>603</v>
      </c>
      <c r="H215" s="3" t="s">
        <v>18</v>
      </c>
      <c r="I215" s="1"/>
    </row>
    <row r="216" ht="15.75" customHeight="1">
      <c r="A216" s="2">
        <v>220.0</v>
      </c>
      <c r="B216" s="1" t="s">
        <v>612</v>
      </c>
      <c r="C216" s="2">
        <v>5.700543757079E12</v>
      </c>
      <c r="D216" s="1" t="s">
        <v>734</v>
      </c>
      <c r="E216" s="1" t="s">
        <v>354</v>
      </c>
      <c r="F216" s="1" t="s">
        <v>735</v>
      </c>
      <c r="G216" s="1" t="s">
        <v>603</v>
      </c>
      <c r="H216" s="3" t="s">
        <v>18</v>
      </c>
      <c r="I216" s="1"/>
    </row>
    <row r="217" ht="15.75" customHeight="1">
      <c r="A217" s="5">
        <v>221.0</v>
      </c>
      <c r="B217" s="6" t="s">
        <v>736</v>
      </c>
      <c r="C217" s="5">
        <v>5.700543757082E12</v>
      </c>
      <c r="D217" s="6" t="s">
        <v>737</v>
      </c>
      <c r="E217" s="6" t="s">
        <v>160</v>
      </c>
      <c r="F217" s="6" t="s">
        <v>738</v>
      </c>
      <c r="G217" s="6" t="s">
        <v>603</v>
      </c>
      <c r="H217" s="7" t="s">
        <v>18</v>
      </c>
      <c r="I217" s="6"/>
    </row>
    <row r="218" ht="15.75" customHeight="1">
      <c r="A218" s="5">
        <v>222.0</v>
      </c>
      <c r="B218" s="6" t="s">
        <v>739</v>
      </c>
      <c r="C218" s="5">
        <v>5.700543757083E12</v>
      </c>
      <c r="D218" s="6" t="s">
        <v>740</v>
      </c>
      <c r="E218" s="6" t="s">
        <v>741</v>
      </c>
      <c r="F218" s="6" t="s">
        <v>742</v>
      </c>
      <c r="G218" s="6" t="s">
        <v>603</v>
      </c>
      <c r="H218" s="7" t="s">
        <v>18</v>
      </c>
      <c r="I218" s="6"/>
    </row>
    <row r="219" ht="15.75" customHeight="1">
      <c r="A219" s="5">
        <v>223.0</v>
      </c>
      <c r="B219" s="6" t="s">
        <v>743</v>
      </c>
      <c r="C219" s="5">
        <v>5.700543757084E12</v>
      </c>
      <c r="D219" s="6" t="s">
        <v>744</v>
      </c>
      <c r="E219" s="6" t="s">
        <v>745</v>
      </c>
      <c r="F219" s="6" t="s">
        <v>746</v>
      </c>
      <c r="G219" s="6" t="s">
        <v>603</v>
      </c>
      <c r="H219" s="7" t="s">
        <v>18</v>
      </c>
      <c r="I219" s="6"/>
    </row>
    <row r="220" ht="15.75" customHeight="1">
      <c r="A220" s="5">
        <v>224.0</v>
      </c>
      <c r="B220" s="6" t="s">
        <v>747</v>
      </c>
      <c r="C220" s="5">
        <v>5.700543757087E12</v>
      </c>
      <c r="D220" s="6" t="s">
        <v>748</v>
      </c>
      <c r="E220" s="6" t="s">
        <v>160</v>
      </c>
      <c r="F220" s="6" t="s">
        <v>749</v>
      </c>
      <c r="G220" s="6" t="s">
        <v>603</v>
      </c>
      <c r="H220" s="7" t="s">
        <v>18</v>
      </c>
      <c r="I220" s="6"/>
    </row>
    <row r="221" ht="15.75" customHeight="1">
      <c r="A221" s="5">
        <v>225.0</v>
      </c>
      <c r="B221" s="6" t="s">
        <v>750</v>
      </c>
      <c r="C221" s="5">
        <v>5.70054375709E12</v>
      </c>
      <c r="D221" s="6" t="s">
        <v>751</v>
      </c>
      <c r="E221" s="6" t="s">
        <v>752</v>
      </c>
      <c r="F221" s="6" t="s">
        <v>753</v>
      </c>
      <c r="G221" s="6" t="s">
        <v>603</v>
      </c>
      <c r="H221" s="7" t="s">
        <v>18</v>
      </c>
      <c r="I221" s="6"/>
    </row>
    <row r="222" ht="15.75" customHeight="1">
      <c r="A222" s="5">
        <v>226.0</v>
      </c>
      <c r="B222" s="6" t="s">
        <v>754</v>
      </c>
      <c r="C222" s="5">
        <v>5.700543757091E12</v>
      </c>
      <c r="D222" s="6" t="s">
        <v>755</v>
      </c>
      <c r="E222" s="6" t="s">
        <v>756</v>
      </c>
      <c r="F222" s="6" t="s">
        <v>757</v>
      </c>
      <c r="G222" s="6" t="s">
        <v>603</v>
      </c>
      <c r="H222" s="7" t="s">
        <v>18</v>
      </c>
      <c r="I222" s="6"/>
    </row>
    <row r="223" ht="15.75" customHeight="1">
      <c r="A223" s="5">
        <v>227.0</v>
      </c>
      <c r="B223" s="6" t="s">
        <v>758</v>
      </c>
      <c r="C223" s="5">
        <v>5.700543757093E12</v>
      </c>
      <c r="D223" s="6" t="s">
        <v>759</v>
      </c>
      <c r="E223" s="6" t="s">
        <v>74</v>
      </c>
      <c r="F223" s="6" t="s">
        <v>760</v>
      </c>
      <c r="G223" s="6" t="s">
        <v>603</v>
      </c>
      <c r="H223" s="7" t="s">
        <v>18</v>
      </c>
      <c r="I223" s="6"/>
    </row>
    <row r="224" ht="15.75" customHeight="1">
      <c r="A224" s="5">
        <v>228.0</v>
      </c>
      <c r="B224" s="6" t="s">
        <v>761</v>
      </c>
      <c r="C224" s="5">
        <v>5.700543757095E12</v>
      </c>
      <c r="D224" s="6" t="s">
        <v>762</v>
      </c>
      <c r="E224" s="6" t="s">
        <v>763</v>
      </c>
      <c r="F224" s="6" t="s">
        <v>764</v>
      </c>
      <c r="G224" s="6" t="s">
        <v>603</v>
      </c>
      <c r="H224" s="7" t="s">
        <v>18</v>
      </c>
      <c r="I224" s="6"/>
    </row>
    <row r="225" ht="15.75" customHeight="1">
      <c r="A225" s="5">
        <v>229.0</v>
      </c>
      <c r="B225" s="6" t="s">
        <v>765</v>
      </c>
      <c r="C225" s="5">
        <v>5.700543757097E12</v>
      </c>
      <c r="D225" s="6" t="s">
        <v>766</v>
      </c>
      <c r="E225" s="6" t="s">
        <v>767</v>
      </c>
      <c r="F225" s="6" t="s">
        <v>768</v>
      </c>
      <c r="G225" s="6" t="s">
        <v>603</v>
      </c>
      <c r="H225" s="7" t="s">
        <v>18</v>
      </c>
      <c r="I225" s="6"/>
    </row>
    <row r="226" ht="15.75" customHeight="1">
      <c r="A226" s="5">
        <v>230.0</v>
      </c>
      <c r="B226" s="6" t="s">
        <v>707</v>
      </c>
      <c r="C226" s="5">
        <v>5.700543757098E12</v>
      </c>
      <c r="D226" s="6" t="s">
        <v>769</v>
      </c>
      <c r="E226" s="6" t="s">
        <v>167</v>
      </c>
      <c r="F226" s="6" t="s">
        <v>770</v>
      </c>
      <c r="G226" s="6" t="s">
        <v>603</v>
      </c>
      <c r="H226" s="7" t="s">
        <v>18</v>
      </c>
      <c r="I226" s="6"/>
    </row>
    <row r="227" ht="15.75" customHeight="1">
      <c r="A227" s="5">
        <v>231.0</v>
      </c>
      <c r="B227" s="6" t="s">
        <v>771</v>
      </c>
      <c r="C227" s="5">
        <v>5.700543757099E12</v>
      </c>
      <c r="D227" s="6" t="s">
        <v>772</v>
      </c>
      <c r="E227" s="6" t="s">
        <v>160</v>
      </c>
      <c r="F227" s="6" t="s">
        <v>773</v>
      </c>
      <c r="G227" s="6" t="s">
        <v>603</v>
      </c>
      <c r="H227" s="7" t="s">
        <v>18</v>
      </c>
      <c r="I227" s="6"/>
    </row>
    <row r="228" ht="15.75" customHeight="1">
      <c r="A228" s="5">
        <v>232.0</v>
      </c>
      <c r="B228" s="6" t="s">
        <v>608</v>
      </c>
      <c r="C228" s="5">
        <v>5.7005437571E12</v>
      </c>
      <c r="D228" s="6" t="s">
        <v>774</v>
      </c>
      <c r="E228" s="6" t="s">
        <v>775</v>
      </c>
      <c r="F228" s="6" t="s">
        <v>776</v>
      </c>
      <c r="G228" s="6" t="s">
        <v>603</v>
      </c>
      <c r="H228" s="7" t="s">
        <v>18</v>
      </c>
      <c r="I228" s="6"/>
    </row>
    <row r="229" ht="15.75" customHeight="1">
      <c r="A229" s="5">
        <v>233.0</v>
      </c>
      <c r="B229" s="6" t="s">
        <v>777</v>
      </c>
      <c r="C229" s="5">
        <v>5.700543757103E12</v>
      </c>
      <c r="D229" s="6" t="s">
        <v>778</v>
      </c>
      <c r="E229" s="6" t="s">
        <v>779</v>
      </c>
      <c r="F229" s="6" t="s">
        <v>780</v>
      </c>
      <c r="G229" s="6" t="s">
        <v>603</v>
      </c>
      <c r="H229" s="7" t="s">
        <v>18</v>
      </c>
      <c r="I229" s="6"/>
    </row>
    <row r="230" ht="15.75" customHeight="1">
      <c r="A230" s="5">
        <v>234.0</v>
      </c>
      <c r="B230" s="6" t="s">
        <v>781</v>
      </c>
      <c r="C230" s="5">
        <v>5.700543757105E12</v>
      </c>
      <c r="D230" s="6" t="s">
        <v>782</v>
      </c>
      <c r="E230" s="6" t="s">
        <v>89</v>
      </c>
      <c r="F230" s="6" t="s">
        <v>783</v>
      </c>
      <c r="G230" s="6" t="s">
        <v>603</v>
      </c>
      <c r="H230" s="7" t="s">
        <v>18</v>
      </c>
      <c r="I230" s="6"/>
    </row>
    <row r="231" ht="15.75" customHeight="1">
      <c r="A231" s="5">
        <v>235.0</v>
      </c>
      <c r="B231" s="6" t="s">
        <v>685</v>
      </c>
      <c r="C231" s="5">
        <v>5.700543757107E12</v>
      </c>
      <c r="D231" s="6" t="s">
        <v>784</v>
      </c>
      <c r="E231" s="6" t="s">
        <v>785</v>
      </c>
      <c r="F231" s="6" t="s">
        <v>786</v>
      </c>
      <c r="G231" s="6" t="s">
        <v>603</v>
      </c>
      <c r="H231" s="7" t="s">
        <v>18</v>
      </c>
      <c r="I231" s="6"/>
    </row>
    <row r="232" ht="15.75" customHeight="1">
      <c r="A232" s="5">
        <v>236.0</v>
      </c>
      <c r="B232" s="6" t="s">
        <v>787</v>
      </c>
      <c r="C232" s="5">
        <v>5.700543757108E12</v>
      </c>
      <c r="D232" s="6" t="s">
        <v>788</v>
      </c>
      <c r="E232" s="6" t="s">
        <v>789</v>
      </c>
      <c r="F232" s="6" t="s">
        <v>790</v>
      </c>
      <c r="G232" s="6" t="s">
        <v>603</v>
      </c>
      <c r="H232" s="7" t="s">
        <v>18</v>
      </c>
      <c r="I232" s="6"/>
    </row>
    <row r="233" ht="15.75" customHeight="1">
      <c r="A233" s="5">
        <v>237.0</v>
      </c>
      <c r="B233" s="6" t="s">
        <v>791</v>
      </c>
      <c r="C233" s="5">
        <v>5.70054375711E12</v>
      </c>
      <c r="D233" s="6" t="s">
        <v>792</v>
      </c>
      <c r="E233" s="6" t="s">
        <v>793</v>
      </c>
      <c r="F233" s="6" t="s">
        <v>794</v>
      </c>
      <c r="G233" s="6" t="s">
        <v>603</v>
      </c>
      <c r="H233" s="7" t="s">
        <v>18</v>
      </c>
      <c r="I233" s="6"/>
    </row>
    <row r="234" ht="15.75" customHeight="1">
      <c r="A234" s="5">
        <v>238.0</v>
      </c>
      <c r="B234" s="6" t="s">
        <v>795</v>
      </c>
      <c r="C234" s="5">
        <v>5.700543757113E12</v>
      </c>
      <c r="D234" s="6" t="s">
        <v>796</v>
      </c>
      <c r="E234" s="6" t="s">
        <v>797</v>
      </c>
      <c r="F234" s="6" t="s">
        <v>798</v>
      </c>
      <c r="G234" s="6" t="s">
        <v>603</v>
      </c>
      <c r="H234" s="7" t="s">
        <v>18</v>
      </c>
      <c r="I234" s="6"/>
    </row>
    <row r="235" ht="15.75" customHeight="1">
      <c r="A235" s="5">
        <v>239.0</v>
      </c>
      <c r="B235" s="6" t="s">
        <v>799</v>
      </c>
      <c r="C235" s="5">
        <v>5.700543757116E12</v>
      </c>
      <c r="D235" s="6" t="s">
        <v>800</v>
      </c>
      <c r="E235" s="6" t="s">
        <v>45</v>
      </c>
      <c r="F235" s="6" t="s">
        <v>801</v>
      </c>
      <c r="G235" s="6" t="s">
        <v>603</v>
      </c>
      <c r="H235" s="7" t="s">
        <v>18</v>
      </c>
      <c r="I235" s="6"/>
    </row>
    <row r="236" ht="15.75" customHeight="1">
      <c r="A236" s="5">
        <v>240.0</v>
      </c>
      <c r="B236" s="6" t="s">
        <v>802</v>
      </c>
      <c r="C236" s="5">
        <v>5.700543757119E12</v>
      </c>
      <c r="D236" s="6" t="s">
        <v>803</v>
      </c>
      <c r="E236" s="6" t="s">
        <v>804</v>
      </c>
      <c r="F236" s="6" t="s">
        <v>374</v>
      </c>
      <c r="G236" s="6" t="s">
        <v>603</v>
      </c>
      <c r="H236" s="7" t="s">
        <v>18</v>
      </c>
      <c r="I236" s="6"/>
    </row>
    <row r="237" ht="15.75" customHeight="1">
      <c r="A237" s="5">
        <v>241.0</v>
      </c>
      <c r="B237" s="6" t="s">
        <v>805</v>
      </c>
      <c r="C237" s="5">
        <v>5.700543757121E12</v>
      </c>
      <c r="D237" s="6" t="s">
        <v>806</v>
      </c>
      <c r="E237" s="6" t="s">
        <v>167</v>
      </c>
      <c r="F237" s="6" t="s">
        <v>807</v>
      </c>
      <c r="G237" s="6" t="s">
        <v>603</v>
      </c>
      <c r="H237" s="7" t="s">
        <v>18</v>
      </c>
      <c r="I237" s="6"/>
    </row>
    <row r="238" ht="15.75" customHeight="1">
      <c r="A238" s="5">
        <v>242.0</v>
      </c>
      <c r="B238" s="6" t="s">
        <v>808</v>
      </c>
      <c r="C238" s="5">
        <v>5.700543757123E12</v>
      </c>
      <c r="D238" s="6" t="s">
        <v>809</v>
      </c>
      <c r="E238" s="6" t="s">
        <v>45</v>
      </c>
      <c r="F238" s="6" t="s">
        <v>810</v>
      </c>
      <c r="G238" s="6" t="s">
        <v>603</v>
      </c>
      <c r="H238" s="7" t="s">
        <v>18</v>
      </c>
      <c r="I238" s="6"/>
    </row>
    <row r="239" ht="15.75" customHeight="1">
      <c r="A239" s="5">
        <v>243.0</v>
      </c>
      <c r="B239" s="6" t="s">
        <v>811</v>
      </c>
      <c r="C239" s="5">
        <v>5.700543757124E12</v>
      </c>
      <c r="D239" s="6" t="s">
        <v>812</v>
      </c>
      <c r="E239" s="6" t="s">
        <v>111</v>
      </c>
      <c r="F239" s="6" t="s">
        <v>813</v>
      </c>
      <c r="G239" s="6" t="s">
        <v>603</v>
      </c>
      <c r="H239" s="7" t="s">
        <v>18</v>
      </c>
      <c r="I239" s="6"/>
    </row>
    <row r="240" ht="15.75" customHeight="1">
      <c r="A240" s="5">
        <v>244.0</v>
      </c>
      <c r="B240" s="6" t="s">
        <v>814</v>
      </c>
      <c r="C240" s="5">
        <v>5.700543757125E12</v>
      </c>
      <c r="D240" s="6" t="s">
        <v>815</v>
      </c>
      <c r="E240" s="6" t="s">
        <v>816</v>
      </c>
      <c r="F240" s="6" t="s">
        <v>817</v>
      </c>
      <c r="G240" s="6" t="s">
        <v>603</v>
      </c>
      <c r="H240" s="7" t="s">
        <v>18</v>
      </c>
      <c r="I240" s="6"/>
    </row>
    <row r="241" ht="15.75" customHeight="1">
      <c r="A241" s="5">
        <v>245.0</v>
      </c>
      <c r="B241" s="6" t="s">
        <v>818</v>
      </c>
      <c r="C241" s="5">
        <v>5.700543757126E12</v>
      </c>
      <c r="D241" s="6" t="s">
        <v>819</v>
      </c>
      <c r="E241" s="6" t="s">
        <v>201</v>
      </c>
      <c r="F241" s="6" t="s">
        <v>820</v>
      </c>
      <c r="G241" s="6" t="s">
        <v>603</v>
      </c>
      <c r="H241" s="7" t="s">
        <v>18</v>
      </c>
      <c r="I241" s="6"/>
    </row>
    <row r="242" ht="15.75" customHeight="1">
      <c r="A242" s="5">
        <v>246.0</v>
      </c>
      <c r="B242" s="6" t="s">
        <v>821</v>
      </c>
      <c r="C242" s="5">
        <v>5.700543757128E12</v>
      </c>
      <c r="D242" s="6" t="s">
        <v>822</v>
      </c>
      <c r="E242" s="6" t="s">
        <v>823</v>
      </c>
      <c r="F242" s="6" t="s">
        <v>824</v>
      </c>
      <c r="G242" s="6" t="s">
        <v>603</v>
      </c>
      <c r="H242" s="7" t="s">
        <v>18</v>
      </c>
      <c r="I242" s="6"/>
    </row>
    <row r="243" ht="15.75" customHeight="1">
      <c r="A243" s="5">
        <v>247.0</v>
      </c>
      <c r="B243" s="6" t="s">
        <v>825</v>
      </c>
      <c r="C243" s="5">
        <v>5.700543757129E12</v>
      </c>
      <c r="D243" s="6" t="s">
        <v>449</v>
      </c>
      <c r="E243" s="6" t="s">
        <v>826</v>
      </c>
      <c r="F243" s="6" t="s">
        <v>827</v>
      </c>
      <c r="G243" s="6" t="s">
        <v>603</v>
      </c>
      <c r="H243" s="7" t="s">
        <v>18</v>
      </c>
      <c r="I243" s="6"/>
    </row>
    <row r="244" ht="15.75" customHeight="1">
      <c r="A244" s="5">
        <v>248.0</v>
      </c>
      <c r="B244" s="6" t="s">
        <v>828</v>
      </c>
      <c r="C244" s="5">
        <v>5.70054375713E12</v>
      </c>
      <c r="D244" s="6" t="s">
        <v>829</v>
      </c>
      <c r="E244" s="6" t="s">
        <v>830</v>
      </c>
      <c r="F244" s="6" t="s">
        <v>831</v>
      </c>
      <c r="G244" s="6" t="s">
        <v>603</v>
      </c>
      <c r="H244" s="7" t="s">
        <v>18</v>
      </c>
      <c r="I244" s="6"/>
    </row>
    <row r="245" ht="15.75" customHeight="1">
      <c r="A245" s="5">
        <v>249.0</v>
      </c>
      <c r="B245" s="6" t="s">
        <v>832</v>
      </c>
      <c r="C245" s="5">
        <v>5.700543757132E12</v>
      </c>
      <c r="D245" s="6" t="s">
        <v>833</v>
      </c>
      <c r="E245" s="6" t="s">
        <v>834</v>
      </c>
      <c r="F245" s="6" t="s">
        <v>835</v>
      </c>
      <c r="G245" s="6" t="s">
        <v>603</v>
      </c>
      <c r="H245" s="7" t="s">
        <v>18</v>
      </c>
      <c r="I245" s="6"/>
    </row>
    <row r="246" ht="15.75" customHeight="1">
      <c r="A246" s="5">
        <v>250.0</v>
      </c>
      <c r="B246" s="6" t="s">
        <v>836</v>
      </c>
      <c r="C246" s="5">
        <v>5.700543757133E12</v>
      </c>
      <c r="D246" s="6" t="s">
        <v>837</v>
      </c>
      <c r="E246" s="6" t="s">
        <v>131</v>
      </c>
      <c r="F246" s="6" t="s">
        <v>838</v>
      </c>
      <c r="G246" s="6" t="s">
        <v>603</v>
      </c>
      <c r="H246" s="7" t="s">
        <v>18</v>
      </c>
      <c r="I246" s="6"/>
    </row>
    <row r="247" ht="15.75" customHeight="1">
      <c r="A247" s="5">
        <v>251.0</v>
      </c>
      <c r="B247" s="6" t="s">
        <v>839</v>
      </c>
      <c r="C247" s="5">
        <v>5.700543757135E12</v>
      </c>
      <c r="D247" s="6" t="s">
        <v>840</v>
      </c>
      <c r="E247" s="6" t="s">
        <v>338</v>
      </c>
      <c r="F247" s="6" t="s">
        <v>841</v>
      </c>
      <c r="G247" s="6" t="s">
        <v>603</v>
      </c>
      <c r="H247" s="7" t="s">
        <v>18</v>
      </c>
      <c r="I247" s="6"/>
    </row>
    <row r="248" ht="15.75" customHeight="1">
      <c r="A248" s="5">
        <v>252.0</v>
      </c>
      <c r="B248" s="6" t="s">
        <v>842</v>
      </c>
      <c r="C248" s="5">
        <v>5.700543757139E12</v>
      </c>
      <c r="D248" s="6" t="s">
        <v>843</v>
      </c>
      <c r="E248" s="6" t="s">
        <v>844</v>
      </c>
      <c r="F248" s="6" t="s">
        <v>845</v>
      </c>
      <c r="G248" s="6" t="s">
        <v>603</v>
      </c>
      <c r="H248" s="7" t="s">
        <v>18</v>
      </c>
      <c r="I248" s="6"/>
    </row>
    <row r="249" ht="15.75" customHeight="1">
      <c r="A249" s="5">
        <v>253.0</v>
      </c>
      <c r="B249" s="6" t="s">
        <v>846</v>
      </c>
      <c r="C249" s="5">
        <v>5.700543757142E12</v>
      </c>
      <c r="D249" s="6" t="s">
        <v>737</v>
      </c>
      <c r="E249" s="6" t="s">
        <v>847</v>
      </c>
      <c r="F249" s="6" t="s">
        <v>848</v>
      </c>
      <c r="G249" s="6" t="s">
        <v>603</v>
      </c>
      <c r="H249" s="7" t="s">
        <v>18</v>
      </c>
      <c r="I249" s="6"/>
    </row>
    <row r="250" ht="15.75" customHeight="1">
      <c r="A250" s="5">
        <v>254.0</v>
      </c>
      <c r="B250" s="6" t="s">
        <v>849</v>
      </c>
      <c r="C250" s="5">
        <v>5.700543757145E12</v>
      </c>
      <c r="D250" s="6" t="s">
        <v>850</v>
      </c>
      <c r="E250" s="6" t="s">
        <v>851</v>
      </c>
      <c r="F250" s="6" t="s">
        <v>852</v>
      </c>
      <c r="G250" s="6" t="s">
        <v>603</v>
      </c>
      <c r="H250" s="7" t="s">
        <v>18</v>
      </c>
      <c r="I250" s="6"/>
    </row>
    <row r="251" ht="15.75" customHeight="1">
      <c r="A251" s="5">
        <v>255.0</v>
      </c>
      <c r="B251" s="6" t="s">
        <v>853</v>
      </c>
      <c r="C251" s="5">
        <v>5.700543757146E12</v>
      </c>
      <c r="D251" s="6" t="s">
        <v>854</v>
      </c>
      <c r="E251" s="6" t="s">
        <v>396</v>
      </c>
      <c r="F251" s="6" t="s">
        <v>380</v>
      </c>
      <c r="G251" s="6" t="s">
        <v>603</v>
      </c>
      <c r="H251" s="7" t="s">
        <v>18</v>
      </c>
      <c r="I251" s="6"/>
    </row>
    <row r="252" ht="15.75" customHeight="1">
      <c r="A252" s="5">
        <v>256.0</v>
      </c>
      <c r="B252" s="6" t="s">
        <v>855</v>
      </c>
      <c r="C252" s="5">
        <v>5.700543757147E12</v>
      </c>
      <c r="D252" s="6" t="s">
        <v>856</v>
      </c>
      <c r="E252" s="6" t="s">
        <v>564</v>
      </c>
      <c r="F252" s="6" t="s">
        <v>857</v>
      </c>
      <c r="G252" s="6" t="s">
        <v>603</v>
      </c>
      <c r="H252" s="7" t="s">
        <v>18</v>
      </c>
      <c r="I252" s="6"/>
    </row>
    <row r="253" ht="15.75" customHeight="1">
      <c r="A253" s="5">
        <v>257.0</v>
      </c>
      <c r="B253" s="6" t="s">
        <v>846</v>
      </c>
      <c r="C253" s="5">
        <v>5.700543757149E12</v>
      </c>
      <c r="D253" s="6" t="s">
        <v>858</v>
      </c>
      <c r="E253" s="6" t="s">
        <v>859</v>
      </c>
      <c r="F253" s="6" t="s">
        <v>860</v>
      </c>
      <c r="G253" s="6" t="s">
        <v>603</v>
      </c>
      <c r="H253" s="7" t="s">
        <v>18</v>
      </c>
      <c r="I253" s="6"/>
    </row>
    <row r="254" ht="15.75" customHeight="1">
      <c r="A254" s="5">
        <v>258.0</v>
      </c>
      <c r="B254" s="6" t="s">
        <v>861</v>
      </c>
      <c r="C254" s="5">
        <v>5.70054375715E12</v>
      </c>
      <c r="D254" s="6" t="s">
        <v>862</v>
      </c>
      <c r="E254" s="6" t="s">
        <v>118</v>
      </c>
      <c r="F254" s="6" t="s">
        <v>863</v>
      </c>
      <c r="G254" s="6" t="s">
        <v>603</v>
      </c>
      <c r="H254" s="7" t="s">
        <v>18</v>
      </c>
      <c r="I254" s="6"/>
    </row>
    <row r="255" ht="15.75" customHeight="1">
      <c r="A255" s="5">
        <v>259.0</v>
      </c>
      <c r="B255" s="6" t="s">
        <v>864</v>
      </c>
      <c r="C255" s="5">
        <v>5.700543757151E12</v>
      </c>
      <c r="D255" s="6" t="s">
        <v>865</v>
      </c>
      <c r="E255" s="6" t="s">
        <v>70</v>
      </c>
      <c r="F255" s="6" t="s">
        <v>866</v>
      </c>
      <c r="G255" s="6" t="s">
        <v>603</v>
      </c>
      <c r="H255" s="7" t="s">
        <v>18</v>
      </c>
      <c r="I255" s="6"/>
    </row>
    <row r="256" ht="15.75" customHeight="1">
      <c r="A256" s="5">
        <v>260.0</v>
      </c>
      <c r="B256" s="6" t="s">
        <v>867</v>
      </c>
      <c r="C256" s="5">
        <v>5.700543757154E12</v>
      </c>
      <c r="D256" s="6" t="s">
        <v>868</v>
      </c>
      <c r="E256" s="6" t="s">
        <v>869</v>
      </c>
      <c r="F256" s="6" t="s">
        <v>870</v>
      </c>
      <c r="G256" s="6" t="s">
        <v>603</v>
      </c>
      <c r="H256" s="7" t="s">
        <v>18</v>
      </c>
      <c r="I256" s="6"/>
    </row>
    <row r="257" ht="15.75" customHeight="1">
      <c r="A257" s="5">
        <v>261.0</v>
      </c>
      <c r="B257" s="6" t="s">
        <v>871</v>
      </c>
      <c r="C257" s="5">
        <v>5.700543757156E12</v>
      </c>
      <c r="D257" s="6" t="s">
        <v>872</v>
      </c>
      <c r="E257" s="6" t="s">
        <v>338</v>
      </c>
      <c r="F257" s="6" t="s">
        <v>69</v>
      </c>
      <c r="G257" s="6" t="s">
        <v>603</v>
      </c>
      <c r="H257" s="7" t="s">
        <v>18</v>
      </c>
      <c r="I257" s="6"/>
    </row>
    <row r="258" ht="15.75" customHeight="1">
      <c r="A258" s="5">
        <v>262.0</v>
      </c>
      <c r="B258" s="6" t="s">
        <v>873</v>
      </c>
      <c r="C258" s="5">
        <v>5.700543757158E12</v>
      </c>
      <c r="D258" s="6" t="s">
        <v>874</v>
      </c>
      <c r="E258" s="6" t="s">
        <v>167</v>
      </c>
      <c r="F258" s="6" t="s">
        <v>875</v>
      </c>
      <c r="G258" s="6" t="s">
        <v>603</v>
      </c>
      <c r="H258" s="7" t="s">
        <v>18</v>
      </c>
      <c r="I258" s="6"/>
    </row>
    <row r="259" ht="15.75" customHeight="1">
      <c r="A259" s="5">
        <v>263.0</v>
      </c>
      <c r="B259" s="6" t="s">
        <v>876</v>
      </c>
      <c r="C259" s="5">
        <v>5.700543757159E12</v>
      </c>
      <c r="D259" s="6" t="s">
        <v>877</v>
      </c>
      <c r="E259" s="6" t="s">
        <v>878</v>
      </c>
      <c r="F259" s="6" t="s">
        <v>879</v>
      </c>
      <c r="G259" s="6" t="s">
        <v>603</v>
      </c>
      <c r="H259" s="7" t="s">
        <v>18</v>
      </c>
      <c r="I259" s="6"/>
    </row>
    <row r="260" ht="15.75" customHeight="1">
      <c r="A260" s="5">
        <v>264.0</v>
      </c>
      <c r="B260" s="6" t="s">
        <v>880</v>
      </c>
      <c r="C260" s="5">
        <v>5.700543757162E12</v>
      </c>
      <c r="D260" s="6" t="s">
        <v>881</v>
      </c>
      <c r="E260" s="6" t="s">
        <v>882</v>
      </c>
      <c r="F260" s="6" t="s">
        <v>883</v>
      </c>
      <c r="G260" s="6" t="s">
        <v>603</v>
      </c>
      <c r="H260" s="7" t="s">
        <v>18</v>
      </c>
      <c r="I260" s="6"/>
    </row>
    <row r="261" ht="15.75" customHeight="1">
      <c r="A261" s="5">
        <v>265.0</v>
      </c>
      <c r="B261" s="6" t="s">
        <v>884</v>
      </c>
      <c r="C261" s="5">
        <v>5.700543757164E12</v>
      </c>
      <c r="D261" s="6" t="s">
        <v>744</v>
      </c>
      <c r="E261" s="6" t="s">
        <v>885</v>
      </c>
      <c r="F261" s="6" t="s">
        <v>886</v>
      </c>
      <c r="G261" s="6" t="s">
        <v>603</v>
      </c>
      <c r="H261" s="7" t="s">
        <v>18</v>
      </c>
      <c r="I261" s="6"/>
    </row>
    <row r="262" ht="15.75" customHeight="1">
      <c r="A262" s="5">
        <v>266.0</v>
      </c>
      <c r="B262" s="6" t="s">
        <v>887</v>
      </c>
      <c r="C262" s="5">
        <v>5.700543757167E12</v>
      </c>
      <c r="D262" s="6" t="s">
        <v>888</v>
      </c>
      <c r="E262" s="6" t="s">
        <v>206</v>
      </c>
      <c r="F262" s="6" t="s">
        <v>889</v>
      </c>
      <c r="G262" s="6" t="s">
        <v>603</v>
      </c>
      <c r="H262" s="7" t="s">
        <v>18</v>
      </c>
      <c r="I262" s="6"/>
    </row>
    <row r="263" ht="15.75" customHeight="1">
      <c r="A263" s="5">
        <v>267.0</v>
      </c>
      <c r="B263" s="6" t="s">
        <v>781</v>
      </c>
      <c r="C263" s="5">
        <v>5.700543757168E12</v>
      </c>
      <c r="D263" s="6" t="s">
        <v>890</v>
      </c>
      <c r="E263" s="6" t="s">
        <v>536</v>
      </c>
      <c r="F263" s="6" t="s">
        <v>891</v>
      </c>
      <c r="G263" s="6" t="s">
        <v>603</v>
      </c>
      <c r="H263" s="7" t="s">
        <v>18</v>
      </c>
      <c r="I263" s="6"/>
    </row>
    <row r="264" ht="15.75" customHeight="1">
      <c r="A264" s="5">
        <v>268.0</v>
      </c>
      <c r="B264" s="6" t="s">
        <v>892</v>
      </c>
      <c r="C264" s="5">
        <v>5.70054375717E12</v>
      </c>
      <c r="D264" s="6" t="s">
        <v>893</v>
      </c>
      <c r="E264" s="6" t="s">
        <v>894</v>
      </c>
      <c r="F264" s="6" t="s">
        <v>895</v>
      </c>
      <c r="G264" s="6" t="s">
        <v>603</v>
      </c>
      <c r="H264" s="7" t="s">
        <v>18</v>
      </c>
      <c r="I264" s="6"/>
    </row>
    <row r="265" ht="15.75" customHeight="1">
      <c r="A265" s="5">
        <v>269.0</v>
      </c>
      <c r="B265" s="6" t="s">
        <v>723</v>
      </c>
      <c r="C265" s="5">
        <v>5.700543757172E12</v>
      </c>
      <c r="D265" s="6" t="s">
        <v>896</v>
      </c>
      <c r="E265" s="6" t="s">
        <v>100</v>
      </c>
      <c r="F265" s="6" t="s">
        <v>897</v>
      </c>
      <c r="G265" s="6" t="s">
        <v>603</v>
      </c>
      <c r="H265" s="7" t="s">
        <v>18</v>
      </c>
      <c r="I265" s="6"/>
    </row>
    <row r="266" ht="15.75" customHeight="1">
      <c r="A266" s="5">
        <v>270.0</v>
      </c>
      <c r="B266" s="6" t="s">
        <v>898</v>
      </c>
      <c r="C266" s="5">
        <v>5.700543757176E12</v>
      </c>
      <c r="D266" s="6" t="s">
        <v>899</v>
      </c>
      <c r="E266" s="6" t="s">
        <v>900</v>
      </c>
      <c r="F266" s="6" t="s">
        <v>901</v>
      </c>
      <c r="G266" s="6" t="s">
        <v>603</v>
      </c>
      <c r="H266" s="7" t="s">
        <v>18</v>
      </c>
      <c r="I266" s="6"/>
    </row>
    <row r="267" ht="15.75" customHeight="1">
      <c r="A267" s="5">
        <v>271.0</v>
      </c>
      <c r="B267" s="6" t="s">
        <v>902</v>
      </c>
      <c r="C267" s="5">
        <v>5.700543757178E12</v>
      </c>
      <c r="D267" s="6" t="s">
        <v>903</v>
      </c>
      <c r="E267" s="6" t="s">
        <v>904</v>
      </c>
      <c r="F267" s="6" t="s">
        <v>905</v>
      </c>
      <c r="G267" s="6" t="s">
        <v>603</v>
      </c>
      <c r="H267" s="7" t="s">
        <v>18</v>
      </c>
      <c r="I267" s="6"/>
    </row>
    <row r="268" ht="15.75" customHeight="1">
      <c r="A268" s="5">
        <v>272.0</v>
      </c>
      <c r="B268" s="6" t="s">
        <v>906</v>
      </c>
      <c r="C268" s="5">
        <v>5.700543757179E12</v>
      </c>
      <c r="D268" s="6" t="s">
        <v>907</v>
      </c>
      <c r="E268" s="6" t="s">
        <v>908</v>
      </c>
      <c r="F268" s="6" t="s">
        <v>909</v>
      </c>
      <c r="G268" s="6" t="s">
        <v>603</v>
      </c>
      <c r="H268" s="7" t="s">
        <v>18</v>
      </c>
      <c r="I268" s="6"/>
    </row>
    <row r="269" ht="15.75" customHeight="1">
      <c r="A269" s="5">
        <v>273.0</v>
      </c>
      <c r="B269" s="6" t="s">
        <v>910</v>
      </c>
      <c r="C269" s="5">
        <v>5.700543757182E12</v>
      </c>
      <c r="D269" s="6" t="s">
        <v>911</v>
      </c>
      <c r="E269" s="6" t="s">
        <v>912</v>
      </c>
      <c r="F269" s="6" t="s">
        <v>913</v>
      </c>
      <c r="G269" s="6" t="s">
        <v>603</v>
      </c>
      <c r="H269" s="7" t="s">
        <v>18</v>
      </c>
      <c r="I269" s="6"/>
    </row>
    <row r="270" ht="15.75" customHeight="1">
      <c r="A270" s="5">
        <v>274.0</v>
      </c>
      <c r="B270" s="6" t="s">
        <v>914</v>
      </c>
      <c r="C270" s="5">
        <v>5.700543757184E12</v>
      </c>
      <c r="D270" s="6" t="s">
        <v>915</v>
      </c>
      <c r="E270" s="6" t="s">
        <v>916</v>
      </c>
      <c r="F270" s="6" t="s">
        <v>917</v>
      </c>
      <c r="G270" s="6" t="s">
        <v>603</v>
      </c>
      <c r="H270" s="7" t="s">
        <v>18</v>
      </c>
      <c r="I270" s="6"/>
    </row>
    <row r="271" ht="15.75" customHeight="1">
      <c r="A271" s="5">
        <v>275.0</v>
      </c>
      <c r="B271" s="6" t="s">
        <v>918</v>
      </c>
      <c r="C271" s="5">
        <v>5.700543757185E12</v>
      </c>
      <c r="D271" s="6" t="s">
        <v>919</v>
      </c>
      <c r="E271" s="6" t="s">
        <v>920</v>
      </c>
      <c r="F271" s="6" t="s">
        <v>921</v>
      </c>
      <c r="G271" s="6" t="s">
        <v>603</v>
      </c>
      <c r="H271" s="7" t="s">
        <v>18</v>
      </c>
      <c r="I271" s="6"/>
    </row>
    <row r="272" ht="15.75" customHeight="1">
      <c r="A272" s="5">
        <v>276.0</v>
      </c>
      <c r="B272" s="6" t="s">
        <v>922</v>
      </c>
      <c r="C272" s="5">
        <v>5.700543757188E12</v>
      </c>
      <c r="D272" s="6" t="s">
        <v>923</v>
      </c>
      <c r="E272" s="6" t="s">
        <v>164</v>
      </c>
      <c r="F272" s="6" t="s">
        <v>776</v>
      </c>
      <c r="G272" s="6" t="s">
        <v>603</v>
      </c>
      <c r="H272" s="7" t="s">
        <v>18</v>
      </c>
      <c r="I272" s="6"/>
    </row>
    <row r="273" ht="15.75" customHeight="1">
      <c r="A273" s="5">
        <v>277.0</v>
      </c>
      <c r="B273" s="6" t="s">
        <v>880</v>
      </c>
      <c r="C273" s="5">
        <v>5.700543757189E12</v>
      </c>
      <c r="D273" s="6" t="s">
        <v>924</v>
      </c>
      <c r="E273" s="6" t="s">
        <v>925</v>
      </c>
      <c r="F273" s="6" t="s">
        <v>926</v>
      </c>
      <c r="G273" s="6" t="s">
        <v>603</v>
      </c>
      <c r="H273" s="7" t="s">
        <v>18</v>
      </c>
      <c r="I273" s="6"/>
    </row>
    <row r="274" ht="15.75" customHeight="1">
      <c r="A274" s="5">
        <v>278.0</v>
      </c>
      <c r="B274" s="6" t="s">
        <v>927</v>
      </c>
      <c r="C274" s="5">
        <v>5.700543757191E12</v>
      </c>
      <c r="D274" s="6" t="s">
        <v>928</v>
      </c>
      <c r="E274" s="6" t="s">
        <v>785</v>
      </c>
      <c r="F274" s="6" t="s">
        <v>929</v>
      </c>
      <c r="G274" s="6" t="s">
        <v>930</v>
      </c>
      <c r="H274" s="7" t="s">
        <v>18</v>
      </c>
      <c r="I274" s="6"/>
    </row>
    <row r="275" ht="15.75" customHeight="1">
      <c r="A275" s="5">
        <v>279.0</v>
      </c>
      <c r="B275" s="6" t="s">
        <v>931</v>
      </c>
      <c r="C275" s="5">
        <v>5.700543757192E12</v>
      </c>
      <c r="D275" s="6" t="s">
        <v>932</v>
      </c>
      <c r="E275" s="6" t="s">
        <v>933</v>
      </c>
      <c r="F275" s="6" t="s">
        <v>934</v>
      </c>
      <c r="G275" s="6" t="s">
        <v>603</v>
      </c>
      <c r="H275" s="7" t="s">
        <v>18</v>
      </c>
      <c r="I275" s="6"/>
    </row>
    <row r="276" ht="15.75" customHeight="1">
      <c r="A276" s="5">
        <v>280.0</v>
      </c>
      <c r="B276" s="6" t="s">
        <v>935</v>
      </c>
      <c r="C276" s="5">
        <v>5.700543757193E12</v>
      </c>
      <c r="D276" s="6" t="s">
        <v>936</v>
      </c>
      <c r="E276" s="6" t="s">
        <v>138</v>
      </c>
      <c r="F276" s="6" t="s">
        <v>937</v>
      </c>
      <c r="G276" s="6" t="s">
        <v>603</v>
      </c>
      <c r="H276" s="7" t="s">
        <v>18</v>
      </c>
      <c r="I276" s="6"/>
    </row>
    <row r="277" ht="15.75" customHeight="1">
      <c r="A277" s="5">
        <v>281.0</v>
      </c>
      <c r="B277" s="6" t="s">
        <v>938</v>
      </c>
      <c r="C277" s="5">
        <v>5.700543757195E12</v>
      </c>
      <c r="D277" s="6" t="s">
        <v>939</v>
      </c>
      <c r="E277" s="6" t="s">
        <v>275</v>
      </c>
      <c r="F277" s="6" t="s">
        <v>940</v>
      </c>
      <c r="G277" s="6" t="s">
        <v>603</v>
      </c>
      <c r="H277" s="7" t="s">
        <v>18</v>
      </c>
      <c r="I277" s="6"/>
    </row>
    <row r="278" ht="15.75" customHeight="1">
      <c r="A278" s="5">
        <v>282.0</v>
      </c>
      <c r="B278" s="6"/>
      <c r="C278" s="6"/>
      <c r="D278" s="6"/>
      <c r="E278" s="6"/>
      <c r="F278" s="6"/>
      <c r="G278" s="6"/>
      <c r="H278" s="6" t="s">
        <v>649</v>
      </c>
      <c r="I278" s="6"/>
    </row>
    <row r="279" ht="15.75" customHeight="1">
      <c r="A279" s="5">
        <v>283.0</v>
      </c>
      <c r="B279" s="6" t="s">
        <v>941</v>
      </c>
      <c r="C279" s="5">
        <v>5.700543757199E12</v>
      </c>
      <c r="D279" s="6" t="s">
        <v>942</v>
      </c>
      <c r="E279" s="6" t="s">
        <v>224</v>
      </c>
      <c r="F279" s="6" t="s">
        <v>943</v>
      </c>
      <c r="G279" s="6" t="s">
        <v>603</v>
      </c>
      <c r="H279" s="7" t="s">
        <v>18</v>
      </c>
      <c r="I279" s="6"/>
    </row>
    <row r="280" ht="15.75" customHeight="1">
      <c r="A280" s="5">
        <v>284.0</v>
      </c>
      <c r="B280" s="6" t="s">
        <v>944</v>
      </c>
      <c r="C280" s="5">
        <v>5.7005437572E12</v>
      </c>
      <c r="D280" s="6" t="s">
        <v>945</v>
      </c>
      <c r="E280" s="6" t="s">
        <v>167</v>
      </c>
      <c r="F280" s="6" t="s">
        <v>946</v>
      </c>
      <c r="G280" s="6" t="s">
        <v>603</v>
      </c>
      <c r="H280" s="7" t="s">
        <v>18</v>
      </c>
      <c r="I280" s="6"/>
    </row>
    <row r="281" ht="15.75" customHeight="1">
      <c r="A281" s="5">
        <v>285.0</v>
      </c>
      <c r="B281" s="6" t="s">
        <v>947</v>
      </c>
      <c r="C281" s="5">
        <v>5.700543757204E12</v>
      </c>
      <c r="D281" s="6" t="s">
        <v>872</v>
      </c>
      <c r="E281" s="6" t="s">
        <v>338</v>
      </c>
      <c r="F281" s="6" t="s">
        <v>948</v>
      </c>
      <c r="G281" s="6" t="s">
        <v>603</v>
      </c>
      <c r="H281" s="7" t="s">
        <v>18</v>
      </c>
      <c r="I281" s="6"/>
    </row>
    <row r="282" ht="15.75" customHeight="1">
      <c r="A282" s="5">
        <v>286.0</v>
      </c>
      <c r="B282" s="6" t="s">
        <v>846</v>
      </c>
      <c r="C282" s="5">
        <v>5.700543757205E12</v>
      </c>
      <c r="D282" s="6" t="s">
        <v>949</v>
      </c>
      <c r="E282" s="6" t="s">
        <v>950</v>
      </c>
      <c r="F282" s="6" t="s">
        <v>951</v>
      </c>
      <c r="G282" s="6" t="s">
        <v>603</v>
      </c>
      <c r="H282" s="7" t="s">
        <v>18</v>
      </c>
      <c r="I282" s="6"/>
    </row>
    <row r="283" ht="15.75" customHeight="1">
      <c r="A283" s="5">
        <v>287.0</v>
      </c>
      <c r="B283" s="6" t="s">
        <v>952</v>
      </c>
      <c r="C283" s="5">
        <v>5.700543757209E12</v>
      </c>
      <c r="D283" s="6" t="s">
        <v>953</v>
      </c>
      <c r="E283" s="6" t="s">
        <v>35</v>
      </c>
      <c r="F283" s="6" t="s">
        <v>954</v>
      </c>
      <c r="G283" s="6" t="s">
        <v>603</v>
      </c>
      <c r="H283" s="7" t="s">
        <v>18</v>
      </c>
      <c r="I283" s="6"/>
    </row>
    <row r="284" ht="15.75" customHeight="1">
      <c r="A284" s="5">
        <v>288.0</v>
      </c>
      <c r="B284" s="6" t="s">
        <v>898</v>
      </c>
      <c r="C284" s="5">
        <v>5.70054375721E12</v>
      </c>
      <c r="D284" s="6" t="s">
        <v>955</v>
      </c>
      <c r="E284" s="6" t="s">
        <v>705</v>
      </c>
      <c r="F284" s="6" t="s">
        <v>956</v>
      </c>
      <c r="G284" s="6" t="s">
        <v>603</v>
      </c>
      <c r="H284" s="7" t="s">
        <v>18</v>
      </c>
      <c r="I284" s="6"/>
    </row>
    <row r="285" ht="15.75" customHeight="1">
      <c r="A285" s="5">
        <v>289.0</v>
      </c>
      <c r="B285" s="6" t="s">
        <v>957</v>
      </c>
      <c r="C285" s="5">
        <v>5.700543757211E12</v>
      </c>
      <c r="D285" s="6" t="s">
        <v>958</v>
      </c>
      <c r="E285" s="6" t="s">
        <v>396</v>
      </c>
      <c r="F285" s="6" t="s">
        <v>959</v>
      </c>
      <c r="G285" s="6" t="s">
        <v>572</v>
      </c>
      <c r="H285" s="7" t="s">
        <v>18</v>
      </c>
      <c r="I285" s="6"/>
    </row>
    <row r="286" ht="15.75" customHeight="1">
      <c r="A286" s="5">
        <v>290.0</v>
      </c>
      <c r="B286" s="6" t="s">
        <v>960</v>
      </c>
      <c r="C286" s="5">
        <v>5.700543757212E12</v>
      </c>
      <c r="D286" s="6" t="s">
        <v>961</v>
      </c>
      <c r="E286" s="6" t="s">
        <v>962</v>
      </c>
      <c r="F286" s="6" t="s">
        <v>963</v>
      </c>
      <c r="G286" s="6" t="s">
        <v>603</v>
      </c>
      <c r="H286" s="7" t="s">
        <v>18</v>
      </c>
      <c r="I286" s="6"/>
    </row>
    <row r="287" ht="15.75" customHeight="1">
      <c r="A287" s="5">
        <v>291.0</v>
      </c>
      <c r="B287" s="6" t="s">
        <v>689</v>
      </c>
      <c r="C287" s="5">
        <v>5.700543757214E12</v>
      </c>
      <c r="D287" s="6" t="s">
        <v>964</v>
      </c>
      <c r="E287" s="6" t="s">
        <v>164</v>
      </c>
      <c r="F287" s="6" t="s">
        <v>965</v>
      </c>
      <c r="G287" s="6" t="s">
        <v>603</v>
      </c>
      <c r="H287" s="7" t="s">
        <v>18</v>
      </c>
      <c r="I287" s="6"/>
    </row>
    <row r="288" ht="15.75" customHeight="1">
      <c r="A288" s="5">
        <v>292.0</v>
      </c>
      <c r="B288" s="6" t="s">
        <v>966</v>
      </c>
      <c r="C288" s="5">
        <v>5.700543757217E12</v>
      </c>
      <c r="D288" s="6" t="s">
        <v>967</v>
      </c>
      <c r="E288" s="6" t="s">
        <v>968</v>
      </c>
      <c r="F288" s="6" t="s">
        <v>969</v>
      </c>
      <c r="G288" s="6" t="s">
        <v>603</v>
      </c>
      <c r="H288" s="7" t="s">
        <v>18</v>
      </c>
      <c r="I288" s="6"/>
    </row>
    <row r="289" ht="15.75" customHeight="1">
      <c r="A289" s="5">
        <v>293.0</v>
      </c>
      <c r="B289" s="6" t="s">
        <v>970</v>
      </c>
      <c r="C289" s="5">
        <v>5.70054375722E12</v>
      </c>
      <c r="D289" s="6" t="s">
        <v>971</v>
      </c>
      <c r="E289" s="6" t="s">
        <v>972</v>
      </c>
      <c r="F289" s="6" t="s">
        <v>973</v>
      </c>
      <c r="G289" s="6" t="s">
        <v>603</v>
      </c>
      <c r="H289" s="7" t="s">
        <v>18</v>
      </c>
      <c r="I289" s="6"/>
    </row>
    <row r="290" ht="15.75" customHeight="1">
      <c r="A290" s="5">
        <v>294.0</v>
      </c>
      <c r="B290" s="6" t="s">
        <v>974</v>
      </c>
      <c r="C290" s="5">
        <v>5.700543757222E12</v>
      </c>
      <c r="D290" s="6" t="s">
        <v>975</v>
      </c>
      <c r="E290" s="6" t="s">
        <v>494</v>
      </c>
      <c r="F290" s="6" t="s">
        <v>976</v>
      </c>
      <c r="G290" s="6" t="s">
        <v>603</v>
      </c>
      <c r="H290" s="7" t="s">
        <v>18</v>
      </c>
      <c r="I290" s="6"/>
    </row>
    <row r="291" ht="15.75" customHeight="1">
      <c r="A291" s="5">
        <v>295.0</v>
      </c>
      <c r="B291" s="6" t="s">
        <v>977</v>
      </c>
      <c r="C291" s="5">
        <v>5.700543757224E12</v>
      </c>
      <c r="D291" s="6" t="s">
        <v>978</v>
      </c>
      <c r="E291" s="6" t="s">
        <v>979</v>
      </c>
      <c r="F291" s="6" t="s">
        <v>980</v>
      </c>
      <c r="G291" s="6" t="s">
        <v>603</v>
      </c>
      <c r="H291" s="7" t="s">
        <v>18</v>
      </c>
      <c r="I291" s="6"/>
    </row>
    <row r="292" ht="15.75" customHeight="1">
      <c r="A292" s="5">
        <v>296.0</v>
      </c>
      <c r="B292" s="6" t="s">
        <v>981</v>
      </c>
      <c r="C292" s="5">
        <v>5.700543757225E12</v>
      </c>
      <c r="D292" s="6" t="s">
        <v>562</v>
      </c>
      <c r="E292" s="6" t="s">
        <v>982</v>
      </c>
      <c r="F292" s="6" t="s">
        <v>983</v>
      </c>
      <c r="G292" s="6" t="s">
        <v>603</v>
      </c>
      <c r="H292" s="7" t="s">
        <v>18</v>
      </c>
      <c r="I292" s="6"/>
    </row>
    <row r="293" ht="15.75" customHeight="1">
      <c r="A293" s="5">
        <v>297.0</v>
      </c>
      <c r="B293" s="6" t="s">
        <v>984</v>
      </c>
      <c r="C293" s="5">
        <v>5.700543757227E12</v>
      </c>
      <c r="D293" s="6" t="s">
        <v>985</v>
      </c>
      <c r="E293" s="6" t="s">
        <v>986</v>
      </c>
      <c r="F293" s="6" t="s">
        <v>987</v>
      </c>
      <c r="G293" s="6" t="s">
        <v>603</v>
      </c>
      <c r="H293" s="7" t="s">
        <v>18</v>
      </c>
      <c r="I293" s="6"/>
    </row>
    <row r="294" ht="15.75" customHeight="1">
      <c r="A294" s="5">
        <v>298.0</v>
      </c>
      <c r="B294" s="6" t="s">
        <v>988</v>
      </c>
      <c r="C294" s="5">
        <v>5.700543757228E12</v>
      </c>
      <c r="D294" s="6" t="s">
        <v>989</v>
      </c>
      <c r="E294" s="6" t="s">
        <v>147</v>
      </c>
      <c r="F294" s="6" t="s">
        <v>990</v>
      </c>
      <c r="G294" s="6" t="s">
        <v>603</v>
      </c>
      <c r="H294" s="7" t="s">
        <v>18</v>
      </c>
      <c r="I294" s="6"/>
    </row>
    <row r="295" ht="15.75" customHeight="1">
      <c r="A295" s="5">
        <v>299.0</v>
      </c>
      <c r="B295" s="6" t="s">
        <v>966</v>
      </c>
      <c r="C295" s="5">
        <v>5.700543757231E12</v>
      </c>
      <c r="D295" s="6" t="s">
        <v>991</v>
      </c>
      <c r="E295" s="6" t="s">
        <v>136</v>
      </c>
      <c r="F295" s="6" t="s">
        <v>992</v>
      </c>
      <c r="G295" s="6" t="s">
        <v>603</v>
      </c>
      <c r="H295" s="7" t="s">
        <v>18</v>
      </c>
      <c r="I295" s="6"/>
    </row>
    <row r="296" ht="15.75" customHeight="1">
      <c r="A296" s="5">
        <v>300.0</v>
      </c>
      <c r="B296" s="6" t="s">
        <v>867</v>
      </c>
      <c r="C296" s="5">
        <v>5.700543757234E12</v>
      </c>
      <c r="D296" s="6" t="s">
        <v>993</v>
      </c>
      <c r="E296" s="6" t="s">
        <v>994</v>
      </c>
      <c r="F296" s="6" t="s">
        <v>995</v>
      </c>
      <c r="G296" s="6" t="s">
        <v>603</v>
      </c>
      <c r="H296" s="7" t="s">
        <v>18</v>
      </c>
      <c r="I296" s="6"/>
    </row>
    <row r="297" ht="15.75" customHeight="1">
      <c r="A297" s="5">
        <v>301.0</v>
      </c>
      <c r="B297" s="6" t="s">
        <v>599</v>
      </c>
      <c r="C297" s="5">
        <v>5.700543757236E12</v>
      </c>
      <c r="D297" s="6" t="s">
        <v>996</v>
      </c>
      <c r="E297" s="6" t="s">
        <v>997</v>
      </c>
      <c r="F297" s="6" t="s">
        <v>998</v>
      </c>
      <c r="G297" s="6" t="s">
        <v>603</v>
      </c>
      <c r="H297" s="7" t="s">
        <v>18</v>
      </c>
      <c r="I297" s="6"/>
    </row>
    <row r="298" ht="15.75" customHeight="1">
      <c r="A298" s="5">
        <v>302.0</v>
      </c>
      <c r="B298" s="6" t="s">
        <v>999</v>
      </c>
      <c r="C298" s="5">
        <v>5.700543757238E12</v>
      </c>
      <c r="D298" s="6" t="s">
        <v>1000</v>
      </c>
      <c r="E298" s="6" t="s">
        <v>1001</v>
      </c>
      <c r="F298" s="6" t="s">
        <v>1002</v>
      </c>
      <c r="G298" s="6" t="s">
        <v>603</v>
      </c>
      <c r="H298" s="7" t="s">
        <v>18</v>
      </c>
      <c r="I298" s="6"/>
    </row>
    <row r="299" ht="15.75" customHeight="1">
      <c r="A299" s="5">
        <v>303.0</v>
      </c>
      <c r="B299" s="6" t="s">
        <v>1003</v>
      </c>
      <c r="C299" s="5">
        <v>5.700543757241E12</v>
      </c>
      <c r="D299" s="6" t="s">
        <v>1004</v>
      </c>
      <c r="E299" s="6" t="s">
        <v>1005</v>
      </c>
      <c r="F299" s="6" t="s">
        <v>1006</v>
      </c>
      <c r="G299" s="6" t="s">
        <v>603</v>
      </c>
      <c r="H299" s="7" t="s">
        <v>18</v>
      </c>
      <c r="I299" s="6"/>
    </row>
    <row r="300" ht="15.75" customHeight="1">
      <c r="A300" s="5">
        <v>304.0</v>
      </c>
      <c r="B300" s="6" t="s">
        <v>1007</v>
      </c>
      <c r="C300" s="5">
        <v>5.700543757243E12</v>
      </c>
      <c r="D300" s="6" t="s">
        <v>449</v>
      </c>
      <c r="E300" s="6" t="s">
        <v>45</v>
      </c>
      <c r="F300" s="6" t="s">
        <v>1008</v>
      </c>
      <c r="G300" s="6" t="s">
        <v>603</v>
      </c>
      <c r="H300" s="7" t="s">
        <v>18</v>
      </c>
      <c r="I300" s="6"/>
    </row>
    <row r="301" ht="15.75" customHeight="1">
      <c r="A301" s="5">
        <v>305.0</v>
      </c>
      <c r="B301" s="6" t="s">
        <v>1009</v>
      </c>
      <c r="C301" s="5">
        <v>5.700543757245E12</v>
      </c>
      <c r="D301" s="6" t="s">
        <v>1010</v>
      </c>
      <c r="E301" s="6" t="s">
        <v>139</v>
      </c>
      <c r="F301" s="6" t="s">
        <v>1011</v>
      </c>
      <c r="G301" s="6" t="s">
        <v>603</v>
      </c>
      <c r="H301" s="7" t="s">
        <v>18</v>
      </c>
      <c r="I301" s="6"/>
    </row>
    <row r="302" ht="15.75" customHeight="1">
      <c r="A302" s="5">
        <v>306.0</v>
      </c>
      <c r="B302" s="6" t="s">
        <v>1012</v>
      </c>
      <c r="C302" s="5">
        <v>5.700543757247E12</v>
      </c>
      <c r="D302" s="6" t="s">
        <v>1013</v>
      </c>
      <c r="E302" s="6" t="s">
        <v>1014</v>
      </c>
      <c r="F302" s="6" t="s">
        <v>1015</v>
      </c>
      <c r="G302" s="6" t="s">
        <v>603</v>
      </c>
      <c r="H302" s="7" t="s">
        <v>18</v>
      </c>
      <c r="I302" s="6"/>
    </row>
    <row r="303" ht="15.75" customHeight="1">
      <c r="A303" s="5">
        <v>307.0</v>
      </c>
      <c r="B303" s="6" t="s">
        <v>723</v>
      </c>
      <c r="C303" s="5">
        <v>5.700543757251E12</v>
      </c>
      <c r="D303" s="6" t="s">
        <v>1016</v>
      </c>
      <c r="E303" s="6" t="s">
        <v>1017</v>
      </c>
      <c r="F303" s="6" t="s">
        <v>1018</v>
      </c>
      <c r="G303" s="6" t="s">
        <v>603</v>
      </c>
      <c r="H303" s="7" t="s">
        <v>18</v>
      </c>
      <c r="I303" s="6"/>
    </row>
    <row r="304" ht="15.75" customHeight="1">
      <c r="A304" s="5">
        <v>308.0</v>
      </c>
      <c r="B304" s="6" t="s">
        <v>846</v>
      </c>
      <c r="C304" s="5">
        <v>5.700543757253E12</v>
      </c>
      <c r="D304" s="6" t="s">
        <v>1019</v>
      </c>
      <c r="E304" s="6" t="s">
        <v>1020</v>
      </c>
      <c r="F304" s="6" t="s">
        <v>1021</v>
      </c>
      <c r="G304" s="6" t="s">
        <v>603</v>
      </c>
      <c r="H304" s="7" t="s">
        <v>18</v>
      </c>
      <c r="I304" s="6"/>
    </row>
    <row r="305" ht="15.75" customHeight="1">
      <c r="A305" s="5">
        <v>309.0</v>
      </c>
      <c r="B305" s="6" t="s">
        <v>1022</v>
      </c>
      <c r="C305" s="5">
        <v>5.700543757255E12</v>
      </c>
      <c r="D305" s="6" t="s">
        <v>953</v>
      </c>
      <c r="E305" s="6" t="s">
        <v>1023</v>
      </c>
      <c r="F305" s="6" t="s">
        <v>1024</v>
      </c>
      <c r="G305" s="6" t="s">
        <v>603</v>
      </c>
      <c r="H305" s="7" t="s">
        <v>18</v>
      </c>
      <c r="I305" s="6"/>
    </row>
    <row r="306" ht="15.75" customHeight="1">
      <c r="A306" s="5">
        <v>310.0</v>
      </c>
      <c r="B306" s="6"/>
      <c r="C306" s="6"/>
      <c r="D306" s="6"/>
      <c r="E306" s="6"/>
      <c r="F306" s="6"/>
      <c r="G306" s="6"/>
      <c r="H306" s="6" t="s">
        <v>649</v>
      </c>
      <c r="I306" s="6"/>
    </row>
    <row r="307" ht="15.75" customHeight="1">
      <c r="A307" s="5">
        <v>311.0</v>
      </c>
      <c r="B307" s="6" t="s">
        <v>1025</v>
      </c>
      <c r="C307" s="5">
        <v>5.700543757258E12</v>
      </c>
      <c r="D307" s="6" t="s">
        <v>1026</v>
      </c>
      <c r="E307" s="6" t="s">
        <v>823</v>
      </c>
      <c r="F307" s="6" t="s">
        <v>1027</v>
      </c>
      <c r="G307" s="6" t="s">
        <v>603</v>
      </c>
      <c r="H307" s="7" t="s">
        <v>18</v>
      </c>
      <c r="I307" s="6"/>
    </row>
    <row r="308" ht="15.75" customHeight="1">
      <c r="A308" s="5">
        <v>312.0</v>
      </c>
      <c r="B308" s="6" t="s">
        <v>1028</v>
      </c>
      <c r="C308" s="5">
        <v>5.70054375726E12</v>
      </c>
      <c r="D308" s="6" t="s">
        <v>1029</v>
      </c>
      <c r="E308" s="6" t="s">
        <v>1030</v>
      </c>
      <c r="F308" s="6" t="s">
        <v>1031</v>
      </c>
      <c r="G308" s="6" t="s">
        <v>603</v>
      </c>
      <c r="H308" s="7" t="s">
        <v>18</v>
      </c>
      <c r="I308" s="6"/>
    </row>
    <row r="309" ht="15.75" customHeight="1">
      <c r="A309" s="5">
        <v>313.0</v>
      </c>
      <c r="B309" s="6" t="s">
        <v>1032</v>
      </c>
      <c r="C309" s="5">
        <v>5.700543757262E12</v>
      </c>
      <c r="D309" s="6" t="s">
        <v>1033</v>
      </c>
      <c r="E309" s="6" t="s">
        <v>1034</v>
      </c>
      <c r="F309" s="6" t="s">
        <v>1035</v>
      </c>
      <c r="G309" s="6" t="s">
        <v>603</v>
      </c>
      <c r="H309" s="7" t="s">
        <v>18</v>
      </c>
      <c r="I309" s="6"/>
    </row>
    <row r="310" ht="15.75" customHeight="1">
      <c r="A310" s="5">
        <v>314.0</v>
      </c>
      <c r="B310" s="6" t="s">
        <v>1036</v>
      </c>
      <c r="C310" s="5">
        <v>5.700543757263E12</v>
      </c>
      <c r="D310" s="6" t="s">
        <v>232</v>
      </c>
      <c r="E310" s="6" t="s">
        <v>1037</v>
      </c>
      <c r="F310" s="6" t="s">
        <v>1038</v>
      </c>
      <c r="G310" s="6" t="s">
        <v>603</v>
      </c>
      <c r="H310" s="7" t="s">
        <v>18</v>
      </c>
      <c r="I310" s="6"/>
    </row>
    <row r="311" ht="15.75" customHeight="1">
      <c r="A311" s="5">
        <v>315.0</v>
      </c>
      <c r="B311" s="6" t="s">
        <v>1039</v>
      </c>
      <c r="C311" s="5">
        <v>5.700543757265E12</v>
      </c>
      <c r="D311" s="6" t="s">
        <v>1040</v>
      </c>
      <c r="E311" s="6" t="s">
        <v>1041</v>
      </c>
      <c r="F311" s="6" t="s">
        <v>1042</v>
      </c>
      <c r="G311" s="6" t="s">
        <v>603</v>
      </c>
      <c r="H311" s="7" t="s">
        <v>18</v>
      </c>
      <c r="I311" s="6"/>
    </row>
    <row r="312" ht="15.75" customHeight="1">
      <c r="A312" s="5">
        <v>316.0</v>
      </c>
      <c r="B312" s="6" t="s">
        <v>1043</v>
      </c>
      <c r="C312" s="5">
        <v>5.700543757267E12</v>
      </c>
      <c r="D312" s="6" t="s">
        <v>1044</v>
      </c>
      <c r="E312" s="6" t="s">
        <v>275</v>
      </c>
      <c r="F312" s="6" t="s">
        <v>1045</v>
      </c>
      <c r="G312" s="6" t="s">
        <v>603</v>
      </c>
      <c r="H312" s="7" t="s">
        <v>18</v>
      </c>
      <c r="I312" s="6"/>
    </row>
    <row r="313" ht="15.75" customHeight="1">
      <c r="A313" s="5">
        <v>317.0</v>
      </c>
      <c r="B313" s="6" t="s">
        <v>754</v>
      </c>
      <c r="C313" s="5">
        <v>5.700543757269E12</v>
      </c>
      <c r="D313" s="6" t="s">
        <v>1046</v>
      </c>
      <c r="E313" s="6" t="s">
        <v>55</v>
      </c>
      <c r="F313" s="6" t="s">
        <v>1047</v>
      </c>
      <c r="G313" s="6" t="s">
        <v>603</v>
      </c>
      <c r="H313" s="7" t="s">
        <v>18</v>
      </c>
      <c r="I313" s="6"/>
    </row>
    <row r="314" ht="15.75" customHeight="1">
      <c r="A314" s="5">
        <v>318.0</v>
      </c>
      <c r="B314" s="6" t="s">
        <v>1048</v>
      </c>
      <c r="C314" s="5">
        <v>5.700543757272E12</v>
      </c>
      <c r="D314" s="6" t="s">
        <v>1049</v>
      </c>
      <c r="E314" s="6" t="s">
        <v>1050</v>
      </c>
      <c r="F314" s="6" t="s">
        <v>1051</v>
      </c>
      <c r="G314" s="6" t="s">
        <v>603</v>
      </c>
      <c r="H314" s="7" t="s">
        <v>18</v>
      </c>
      <c r="I314" s="6"/>
    </row>
    <row r="315" ht="15.75" customHeight="1">
      <c r="A315" s="5">
        <v>319.0</v>
      </c>
      <c r="B315" s="6"/>
      <c r="C315" s="6"/>
      <c r="D315" s="6"/>
      <c r="E315" s="6"/>
      <c r="F315" s="6"/>
      <c r="G315" s="6"/>
      <c r="H315" s="6" t="s">
        <v>649</v>
      </c>
      <c r="I315" s="6"/>
    </row>
    <row r="316" ht="15.75" customHeight="1">
      <c r="A316" s="5">
        <v>320.0</v>
      </c>
      <c r="B316" s="6" t="s">
        <v>1052</v>
      </c>
      <c r="C316" s="5">
        <v>5.700543757277E12</v>
      </c>
      <c r="D316" s="6" t="s">
        <v>1053</v>
      </c>
      <c r="E316" s="6" t="s">
        <v>113</v>
      </c>
      <c r="F316" s="6" t="s">
        <v>1054</v>
      </c>
      <c r="G316" s="6" t="s">
        <v>603</v>
      </c>
      <c r="H316" s="7" t="s">
        <v>18</v>
      </c>
      <c r="I316" s="6"/>
    </row>
    <row r="317" ht="15.75" customHeight="1">
      <c r="A317" s="5">
        <v>321.0</v>
      </c>
      <c r="B317" s="6" t="s">
        <v>1055</v>
      </c>
      <c r="C317" s="5">
        <v>5.700543757279E12</v>
      </c>
      <c r="D317" s="6" t="s">
        <v>1056</v>
      </c>
      <c r="E317" s="6" t="s">
        <v>1057</v>
      </c>
      <c r="F317" s="6" t="s">
        <v>1058</v>
      </c>
      <c r="G317" s="6" t="s">
        <v>603</v>
      </c>
      <c r="H317" s="7" t="s">
        <v>18</v>
      </c>
      <c r="I317" s="6"/>
    </row>
    <row r="318" ht="15.75" customHeight="1">
      <c r="A318" s="5">
        <v>322.0</v>
      </c>
      <c r="B318" s="6" t="s">
        <v>1059</v>
      </c>
      <c r="C318" s="5">
        <v>5.70054375728E12</v>
      </c>
      <c r="D318" s="6" t="s">
        <v>1060</v>
      </c>
      <c r="E318" s="6" t="s">
        <v>1061</v>
      </c>
      <c r="F318" s="6" t="s">
        <v>1062</v>
      </c>
      <c r="G318" s="6" t="s">
        <v>603</v>
      </c>
      <c r="H318" s="7" t="s">
        <v>18</v>
      </c>
      <c r="I318" s="6"/>
    </row>
    <row r="319" ht="15.75" customHeight="1">
      <c r="A319" s="5">
        <v>323.0</v>
      </c>
      <c r="B319" s="6" t="s">
        <v>1063</v>
      </c>
      <c r="C319" s="5">
        <v>5.700543757282E12</v>
      </c>
      <c r="D319" s="6" t="s">
        <v>1064</v>
      </c>
      <c r="E319" s="6" t="s">
        <v>1065</v>
      </c>
      <c r="F319" s="6" t="s">
        <v>1066</v>
      </c>
      <c r="G319" s="6" t="s">
        <v>603</v>
      </c>
      <c r="H319" s="7" t="s">
        <v>18</v>
      </c>
      <c r="I319" s="6"/>
    </row>
    <row r="320" ht="15.75" customHeight="1">
      <c r="A320" s="5">
        <v>324.0</v>
      </c>
      <c r="B320" s="6" t="s">
        <v>966</v>
      </c>
      <c r="C320" s="5">
        <v>5.700543757284E12</v>
      </c>
      <c r="D320" s="6" t="s">
        <v>86</v>
      </c>
      <c r="E320" s="6" t="s">
        <v>834</v>
      </c>
      <c r="F320" s="6" t="s">
        <v>46</v>
      </c>
      <c r="G320" s="6" t="s">
        <v>603</v>
      </c>
      <c r="H320" s="7" t="s">
        <v>18</v>
      </c>
      <c r="I320" s="6"/>
    </row>
    <row r="321" ht="15.75" customHeight="1">
      <c r="A321" s="5">
        <v>325.0</v>
      </c>
      <c r="B321" s="6" t="s">
        <v>873</v>
      </c>
      <c r="C321" s="5">
        <v>5.700543757287E12</v>
      </c>
      <c r="D321" s="6" t="s">
        <v>424</v>
      </c>
      <c r="E321" s="6" t="s">
        <v>1023</v>
      </c>
      <c r="F321" s="6" t="s">
        <v>1067</v>
      </c>
      <c r="G321" s="6" t="s">
        <v>603</v>
      </c>
      <c r="H321" s="7" t="s">
        <v>18</v>
      </c>
      <c r="I321" s="6"/>
    </row>
    <row r="322" ht="15.75" customHeight="1">
      <c r="A322" s="5">
        <v>326.0</v>
      </c>
      <c r="B322" s="6" t="s">
        <v>1068</v>
      </c>
      <c r="C322" s="5">
        <v>5.700543757289E12</v>
      </c>
      <c r="D322" s="6" t="s">
        <v>1069</v>
      </c>
      <c r="E322" s="6" t="s">
        <v>1070</v>
      </c>
      <c r="F322" s="6" t="s">
        <v>1071</v>
      </c>
      <c r="G322" s="6" t="s">
        <v>603</v>
      </c>
      <c r="H322" s="7" t="s">
        <v>18</v>
      </c>
      <c r="I322" s="6"/>
    </row>
    <row r="323" ht="15.75" customHeight="1">
      <c r="A323" s="5">
        <v>327.0</v>
      </c>
      <c r="B323" s="6" t="s">
        <v>1072</v>
      </c>
      <c r="C323" s="5">
        <v>5.700543757291E12</v>
      </c>
      <c r="D323" s="6" t="s">
        <v>1073</v>
      </c>
      <c r="E323" s="6" t="s">
        <v>1074</v>
      </c>
      <c r="F323" s="6" t="s">
        <v>1075</v>
      </c>
      <c r="G323" s="6" t="s">
        <v>603</v>
      </c>
      <c r="H323" s="7" t="s">
        <v>18</v>
      </c>
      <c r="I323" s="6"/>
    </row>
    <row r="324" ht="15.75" customHeight="1">
      <c r="A324" s="5">
        <v>328.0</v>
      </c>
      <c r="B324" s="6"/>
      <c r="C324" s="6"/>
      <c r="D324" s="6"/>
      <c r="E324" s="6"/>
      <c r="F324" s="6"/>
      <c r="G324" s="6"/>
      <c r="H324" s="6" t="s">
        <v>649</v>
      </c>
      <c r="I324" s="6"/>
    </row>
    <row r="325" ht="15.75" customHeight="1">
      <c r="A325" s="5">
        <v>329.0</v>
      </c>
      <c r="B325" s="6" t="s">
        <v>902</v>
      </c>
      <c r="C325" s="5">
        <v>5.700543757295E12</v>
      </c>
      <c r="D325" s="6" t="s">
        <v>1076</v>
      </c>
      <c r="E325" s="6" t="s">
        <v>1077</v>
      </c>
      <c r="F325" s="6" t="s">
        <v>1078</v>
      </c>
      <c r="G325" s="6" t="s">
        <v>603</v>
      </c>
      <c r="H325" s="7" t="s">
        <v>18</v>
      </c>
      <c r="I325" s="6"/>
    </row>
    <row r="326" ht="15.75" customHeight="1">
      <c r="A326" s="5">
        <v>330.0</v>
      </c>
      <c r="B326" s="6" t="s">
        <v>1079</v>
      </c>
      <c r="C326" s="5">
        <v>5.700543757297E12</v>
      </c>
      <c r="D326" s="6" t="s">
        <v>1080</v>
      </c>
      <c r="E326" s="6" t="s">
        <v>1081</v>
      </c>
      <c r="F326" s="6" t="s">
        <v>502</v>
      </c>
      <c r="G326" s="6" t="s">
        <v>603</v>
      </c>
      <c r="H326" s="7" t="s">
        <v>18</v>
      </c>
      <c r="I326" s="6"/>
    </row>
    <row r="327" ht="15.75" customHeight="1">
      <c r="A327" s="5">
        <v>331.0</v>
      </c>
      <c r="B327" s="6" t="s">
        <v>1082</v>
      </c>
      <c r="C327" s="5">
        <v>5.700543757299E12</v>
      </c>
      <c r="D327" s="6" t="s">
        <v>1083</v>
      </c>
      <c r="E327" s="6" t="s">
        <v>1084</v>
      </c>
      <c r="F327" s="6" t="s">
        <v>1085</v>
      </c>
      <c r="G327" s="6" t="s">
        <v>603</v>
      </c>
      <c r="H327" s="7" t="s">
        <v>18</v>
      </c>
      <c r="I327" s="6"/>
    </row>
    <row r="328" ht="15.75" customHeight="1">
      <c r="A328" s="5">
        <v>332.0</v>
      </c>
      <c r="B328" s="6" t="s">
        <v>654</v>
      </c>
      <c r="C328" s="5">
        <v>5.7005437573E12</v>
      </c>
      <c r="D328" s="6" t="s">
        <v>1086</v>
      </c>
      <c r="E328" s="6" t="s">
        <v>1087</v>
      </c>
      <c r="F328" s="6" t="s">
        <v>1088</v>
      </c>
      <c r="G328" s="6" t="s">
        <v>603</v>
      </c>
      <c r="H328" s="7" t="s">
        <v>18</v>
      </c>
      <c r="I328" s="6"/>
    </row>
    <row r="329" ht="15.75" customHeight="1">
      <c r="A329" s="5">
        <v>333.0</v>
      </c>
      <c r="B329" s="6" t="s">
        <v>771</v>
      </c>
      <c r="C329" s="5">
        <v>5.700543757302E12</v>
      </c>
      <c r="D329" s="6" t="s">
        <v>1089</v>
      </c>
      <c r="E329" s="6" t="s">
        <v>1090</v>
      </c>
      <c r="F329" s="6" t="s">
        <v>1091</v>
      </c>
      <c r="G329" s="6" t="s">
        <v>603</v>
      </c>
      <c r="H329" s="7" t="s">
        <v>18</v>
      </c>
      <c r="I329" s="6"/>
    </row>
    <row r="330" ht="15.75" customHeight="1">
      <c r="A330" s="5">
        <v>334.0</v>
      </c>
      <c r="B330" s="6" t="s">
        <v>922</v>
      </c>
      <c r="C330" s="5">
        <v>5.700543757304E12</v>
      </c>
      <c r="D330" s="6" t="s">
        <v>1092</v>
      </c>
      <c r="E330" s="6" t="s">
        <v>1093</v>
      </c>
      <c r="F330" s="6" t="s">
        <v>1094</v>
      </c>
      <c r="G330" s="6" t="s">
        <v>603</v>
      </c>
      <c r="H330" s="7" t="s">
        <v>18</v>
      </c>
      <c r="I330" s="6"/>
    </row>
    <row r="331" ht="15.75" customHeight="1">
      <c r="A331" s="5">
        <v>335.0</v>
      </c>
      <c r="B331" s="6" t="s">
        <v>1095</v>
      </c>
      <c r="C331" s="5">
        <v>5.700543757306E12</v>
      </c>
      <c r="D331" s="6" t="s">
        <v>899</v>
      </c>
      <c r="E331" s="6" t="s">
        <v>160</v>
      </c>
      <c r="F331" s="6" t="s">
        <v>1096</v>
      </c>
      <c r="G331" s="6" t="s">
        <v>603</v>
      </c>
      <c r="H331" s="7" t="s">
        <v>18</v>
      </c>
      <c r="I331" s="6"/>
    </row>
    <row r="332" ht="15.75" customHeight="1">
      <c r="A332" s="5">
        <v>336.0</v>
      </c>
      <c r="B332" s="6" t="s">
        <v>1097</v>
      </c>
      <c r="C332" s="5">
        <v>5.700543757308E12</v>
      </c>
      <c r="D332" s="6" t="s">
        <v>44</v>
      </c>
      <c r="E332" s="6" t="s">
        <v>45</v>
      </c>
      <c r="F332" s="6" t="s">
        <v>1098</v>
      </c>
      <c r="G332" s="6" t="s">
        <v>603</v>
      </c>
      <c r="H332" s="7" t="s">
        <v>18</v>
      </c>
      <c r="I332" s="6"/>
    </row>
    <row r="333" ht="15.75" customHeight="1">
      <c r="A333" s="5">
        <v>337.0</v>
      </c>
      <c r="B333" s="6" t="s">
        <v>1099</v>
      </c>
      <c r="C333" s="5">
        <v>5.70054375731E12</v>
      </c>
      <c r="D333" s="6" t="s">
        <v>1019</v>
      </c>
      <c r="E333" s="6" t="s">
        <v>1100</v>
      </c>
      <c r="F333" s="6" t="s">
        <v>1101</v>
      </c>
      <c r="G333" s="6" t="s">
        <v>603</v>
      </c>
      <c r="H333" s="7" t="s">
        <v>18</v>
      </c>
      <c r="I333" s="6"/>
    </row>
    <row r="334" ht="15.75" customHeight="1">
      <c r="A334" s="5">
        <v>338.0</v>
      </c>
      <c r="B334" s="6" t="s">
        <v>1102</v>
      </c>
      <c r="C334" s="5">
        <v>5.700543757312E12</v>
      </c>
      <c r="D334" s="6" t="s">
        <v>1019</v>
      </c>
      <c r="E334" s="6" t="s">
        <v>1103</v>
      </c>
      <c r="F334" s="6" t="s">
        <v>1104</v>
      </c>
      <c r="G334" s="6" t="s">
        <v>603</v>
      </c>
      <c r="H334" s="7" t="s">
        <v>18</v>
      </c>
      <c r="I334" s="6"/>
    </row>
    <row r="335" ht="15.75" customHeight="1">
      <c r="A335" s="5">
        <v>339.0</v>
      </c>
      <c r="B335" s="6" t="s">
        <v>1105</v>
      </c>
      <c r="C335" s="5">
        <v>5.700543757314E12</v>
      </c>
      <c r="D335" s="6" t="s">
        <v>1106</v>
      </c>
      <c r="E335" s="6" t="s">
        <v>1107</v>
      </c>
      <c r="F335" s="6" t="s">
        <v>1108</v>
      </c>
      <c r="G335" s="6" t="s">
        <v>603</v>
      </c>
      <c r="H335" s="7" t="s">
        <v>18</v>
      </c>
      <c r="I335" s="6"/>
    </row>
    <row r="336" ht="15.75" customHeight="1">
      <c r="A336" s="5">
        <v>340.0</v>
      </c>
      <c r="B336" s="6" t="s">
        <v>1109</v>
      </c>
      <c r="C336" s="5">
        <v>5.700543757315E12</v>
      </c>
      <c r="D336" s="6" t="s">
        <v>1110</v>
      </c>
      <c r="E336" s="6" t="s">
        <v>1111</v>
      </c>
      <c r="F336" s="6" t="s">
        <v>1112</v>
      </c>
      <c r="G336" s="6" t="s">
        <v>603</v>
      </c>
      <c r="H336" s="7" t="s">
        <v>18</v>
      </c>
      <c r="I336" s="6"/>
    </row>
    <row r="337" ht="15.75" customHeight="1">
      <c r="A337" s="5">
        <v>341.0</v>
      </c>
      <c r="B337" s="6" t="s">
        <v>910</v>
      </c>
      <c r="C337" s="5">
        <v>5.700543757317E12</v>
      </c>
      <c r="D337" s="6" t="s">
        <v>975</v>
      </c>
      <c r="E337" s="6" t="s">
        <v>847</v>
      </c>
      <c r="F337" s="6" t="s">
        <v>1113</v>
      </c>
      <c r="G337" s="6" t="s">
        <v>603</v>
      </c>
      <c r="H337" s="7" t="s">
        <v>18</v>
      </c>
      <c r="I337" s="6"/>
    </row>
    <row r="338" ht="15.75" customHeight="1">
      <c r="A338" s="5">
        <v>342.0</v>
      </c>
      <c r="B338" s="6" t="s">
        <v>1114</v>
      </c>
      <c r="C338" s="5">
        <v>5.700543757319E12</v>
      </c>
      <c r="D338" s="6" t="s">
        <v>116</v>
      </c>
      <c r="E338" s="6" t="s">
        <v>1115</v>
      </c>
      <c r="F338" s="6" t="s">
        <v>1116</v>
      </c>
      <c r="G338" s="6" t="s">
        <v>603</v>
      </c>
      <c r="H338" s="7" t="s">
        <v>18</v>
      </c>
      <c r="I338" s="6"/>
    </row>
    <row r="339" ht="15.75" customHeight="1">
      <c r="A339" s="5">
        <v>343.0</v>
      </c>
      <c r="B339" s="6" t="s">
        <v>1117</v>
      </c>
      <c r="C339" s="5">
        <v>5.700543757326E12</v>
      </c>
      <c r="D339" s="6" t="s">
        <v>1118</v>
      </c>
      <c r="E339" s="6" t="s">
        <v>1119</v>
      </c>
      <c r="F339" s="6" t="s">
        <v>1120</v>
      </c>
      <c r="G339" s="6" t="s">
        <v>603</v>
      </c>
      <c r="H339" s="7" t="s">
        <v>18</v>
      </c>
      <c r="I339" s="6"/>
    </row>
    <row r="340" ht="15.75" customHeight="1">
      <c r="A340" s="5">
        <v>344.0</v>
      </c>
      <c r="B340" s="6" t="s">
        <v>1121</v>
      </c>
      <c r="C340" s="5">
        <v>5.700543757327E12</v>
      </c>
      <c r="D340" s="6" t="s">
        <v>1122</v>
      </c>
      <c r="E340" s="6" t="s">
        <v>1123</v>
      </c>
      <c r="F340" s="6" t="s">
        <v>1124</v>
      </c>
      <c r="G340" s="6" t="s">
        <v>603</v>
      </c>
      <c r="H340" s="7" t="s">
        <v>18</v>
      </c>
      <c r="I340" s="6"/>
    </row>
    <row r="341" ht="15.75" customHeight="1">
      <c r="A341" s="5">
        <v>345.0</v>
      </c>
      <c r="B341" s="6" t="s">
        <v>1125</v>
      </c>
      <c r="C341" s="5">
        <v>5.700543757329E12</v>
      </c>
      <c r="D341" s="6" t="s">
        <v>1126</v>
      </c>
      <c r="E341" s="6" t="s">
        <v>1127</v>
      </c>
      <c r="F341" s="6" t="s">
        <v>1128</v>
      </c>
      <c r="G341" s="6" t="s">
        <v>603</v>
      </c>
      <c r="H341" s="7" t="s">
        <v>18</v>
      </c>
      <c r="I341" s="6"/>
    </row>
    <row r="342" ht="15.75" customHeight="1">
      <c r="A342" s="5">
        <v>346.0</v>
      </c>
      <c r="B342" s="6" t="s">
        <v>703</v>
      </c>
      <c r="C342" s="5">
        <v>5.70054375733E12</v>
      </c>
      <c r="D342" s="6" t="s">
        <v>1129</v>
      </c>
      <c r="E342" s="6" t="s">
        <v>206</v>
      </c>
      <c r="F342" s="6" t="s">
        <v>1130</v>
      </c>
      <c r="G342" s="6" t="s">
        <v>603</v>
      </c>
      <c r="H342" s="7" t="s">
        <v>18</v>
      </c>
      <c r="I342" s="6"/>
    </row>
    <row r="343" ht="15.75" customHeight="1">
      <c r="A343" s="5">
        <v>347.0</v>
      </c>
      <c r="B343" s="6" t="s">
        <v>791</v>
      </c>
      <c r="C343" s="5">
        <v>5.700543757333E12</v>
      </c>
      <c r="D343" s="6" t="s">
        <v>1131</v>
      </c>
      <c r="E343" s="6" t="s">
        <v>77</v>
      </c>
      <c r="F343" s="6" t="s">
        <v>1132</v>
      </c>
      <c r="G343" s="6" t="s">
        <v>603</v>
      </c>
      <c r="H343" s="7" t="s">
        <v>18</v>
      </c>
      <c r="I343" s="6"/>
    </row>
    <row r="344" ht="15.75" customHeight="1">
      <c r="A344" s="5">
        <v>348.0</v>
      </c>
      <c r="B344" s="6" t="s">
        <v>1133</v>
      </c>
      <c r="C344" s="5">
        <v>5.700543757335E12</v>
      </c>
      <c r="D344" s="6" t="s">
        <v>488</v>
      </c>
      <c r="E344" s="6" t="s">
        <v>180</v>
      </c>
      <c r="F344" s="6" t="s">
        <v>1134</v>
      </c>
      <c r="G344" s="6" t="s">
        <v>603</v>
      </c>
      <c r="H344" s="7" t="s">
        <v>18</v>
      </c>
      <c r="I344" s="6"/>
    </row>
    <row r="345" ht="15.75" customHeight="1">
      <c r="A345" s="5">
        <v>349.0</v>
      </c>
      <c r="B345" s="6" t="s">
        <v>1135</v>
      </c>
      <c r="C345" s="5">
        <v>5.700543757337E12</v>
      </c>
      <c r="D345" s="6" t="s">
        <v>1136</v>
      </c>
      <c r="E345" s="6" t="s">
        <v>53</v>
      </c>
      <c r="F345" s="6" t="s">
        <v>1137</v>
      </c>
      <c r="G345" s="6" t="s">
        <v>603</v>
      </c>
      <c r="H345" s="7" t="s">
        <v>18</v>
      </c>
      <c r="I345" s="6"/>
    </row>
    <row r="346" ht="15.75" customHeight="1">
      <c r="A346" s="5">
        <v>350.0</v>
      </c>
      <c r="B346" s="6" t="s">
        <v>1138</v>
      </c>
      <c r="C346" s="5">
        <v>5.700543757339E12</v>
      </c>
      <c r="D346" s="6" t="s">
        <v>1139</v>
      </c>
      <c r="E346" s="6" t="s">
        <v>1140</v>
      </c>
      <c r="F346" s="6" t="s">
        <v>1141</v>
      </c>
      <c r="G346" s="6" t="s">
        <v>603</v>
      </c>
      <c r="H346" s="7" t="s">
        <v>18</v>
      </c>
      <c r="I346" s="6"/>
    </row>
    <row r="347" ht="15.75" customHeight="1">
      <c r="A347" s="5">
        <v>351.0</v>
      </c>
      <c r="B347" s="6" t="s">
        <v>1142</v>
      </c>
      <c r="C347" s="5">
        <v>5.70054375734E12</v>
      </c>
      <c r="D347" s="6" t="s">
        <v>1143</v>
      </c>
      <c r="E347" s="6" t="s">
        <v>1144</v>
      </c>
      <c r="F347" s="6" t="s">
        <v>1145</v>
      </c>
      <c r="G347" s="6" t="s">
        <v>603</v>
      </c>
      <c r="H347" s="7" t="s">
        <v>18</v>
      </c>
      <c r="I347" s="6"/>
    </row>
    <row r="348" ht="15.75" customHeight="1">
      <c r="A348" s="5">
        <v>352.0</v>
      </c>
      <c r="B348" s="6" t="s">
        <v>952</v>
      </c>
      <c r="C348" s="5">
        <v>5.700543757342E12</v>
      </c>
      <c r="D348" s="6" t="s">
        <v>924</v>
      </c>
      <c r="E348" s="6" t="s">
        <v>1020</v>
      </c>
      <c r="F348" s="6" t="s">
        <v>1146</v>
      </c>
      <c r="G348" s="6" t="s">
        <v>603</v>
      </c>
      <c r="H348" s="7" t="s">
        <v>18</v>
      </c>
      <c r="I348" s="6"/>
    </row>
    <row r="349" ht="15.75" customHeight="1">
      <c r="A349" s="5">
        <v>353.0</v>
      </c>
      <c r="B349" s="6" t="s">
        <v>1147</v>
      </c>
      <c r="C349" s="5">
        <v>5.700543757344E12</v>
      </c>
      <c r="D349" s="6" t="s">
        <v>1148</v>
      </c>
      <c r="E349" s="6" t="s">
        <v>1149</v>
      </c>
      <c r="F349" s="6" t="s">
        <v>1150</v>
      </c>
      <c r="G349" s="6" t="s">
        <v>603</v>
      </c>
      <c r="H349" s="7" t="s">
        <v>18</v>
      </c>
      <c r="I349" s="6"/>
    </row>
    <row r="350" ht="15.75" customHeight="1">
      <c r="A350" s="5">
        <v>354.0</v>
      </c>
      <c r="B350" s="6" t="s">
        <v>1151</v>
      </c>
      <c r="C350" s="5">
        <v>5.700543757346E12</v>
      </c>
      <c r="D350" s="6" t="s">
        <v>421</v>
      </c>
      <c r="E350" s="6" t="s">
        <v>1152</v>
      </c>
      <c r="F350" s="6" t="s">
        <v>1153</v>
      </c>
      <c r="G350" s="6" t="s">
        <v>603</v>
      </c>
      <c r="H350" s="7" t="s">
        <v>18</v>
      </c>
      <c r="I350" s="6"/>
    </row>
    <row r="351" ht="15.75" customHeight="1">
      <c r="A351" s="5">
        <v>355.0</v>
      </c>
      <c r="B351" s="6" t="s">
        <v>718</v>
      </c>
      <c r="C351" s="5">
        <v>5.700543757348E12</v>
      </c>
      <c r="D351" s="6" t="s">
        <v>228</v>
      </c>
      <c r="E351" s="6" t="s">
        <v>1154</v>
      </c>
      <c r="F351" s="6" t="s">
        <v>1155</v>
      </c>
      <c r="G351" s="6" t="s">
        <v>603</v>
      </c>
      <c r="H351" s="7" t="s">
        <v>18</v>
      </c>
      <c r="I351" s="6"/>
    </row>
    <row r="352" ht="15.75" customHeight="1">
      <c r="A352" s="5">
        <v>356.0</v>
      </c>
      <c r="B352" s="6" t="s">
        <v>1156</v>
      </c>
      <c r="C352" s="5">
        <v>5.70054375735E12</v>
      </c>
      <c r="D352" s="6" t="s">
        <v>1157</v>
      </c>
      <c r="E352" s="6" t="s">
        <v>1158</v>
      </c>
      <c r="F352" s="6" t="s">
        <v>1159</v>
      </c>
      <c r="G352" s="6" t="s">
        <v>603</v>
      </c>
      <c r="H352" s="7" t="s">
        <v>18</v>
      </c>
      <c r="I352" s="6"/>
    </row>
    <row r="353" ht="15.75" customHeight="1">
      <c r="A353" s="5">
        <v>357.0</v>
      </c>
      <c r="B353" s="6" t="s">
        <v>1160</v>
      </c>
      <c r="C353" s="5">
        <v>5.700543757352E12</v>
      </c>
      <c r="D353" s="6" t="s">
        <v>1161</v>
      </c>
      <c r="E353" s="6" t="s">
        <v>115</v>
      </c>
      <c r="F353" s="6" t="s">
        <v>1162</v>
      </c>
      <c r="G353" s="6" t="s">
        <v>603</v>
      </c>
      <c r="H353" s="7" t="s">
        <v>18</v>
      </c>
      <c r="I353" s="6"/>
    </row>
    <row r="354" ht="15.75" customHeight="1">
      <c r="A354" s="5">
        <v>358.0</v>
      </c>
      <c r="B354" s="6" t="s">
        <v>1063</v>
      </c>
      <c r="C354" s="5">
        <v>5.700543757354E12</v>
      </c>
      <c r="D354" s="6" t="s">
        <v>1163</v>
      </c>
      <c r="E354" s="6" t="s">
        <v>1164</v>
      </c>
      <c r="F354" s="6" t="s">
        <v>1165</v>
      </c>
      <c r="G354" s="6" t="s">
        <v>603</v>
      </c>
      <c r="H354" s="7" t="s">
        <v>18</v>
      </c>
      <c r="I354" s="6"/>
    </row>
    <row r="355" ht="15.75" customHeight="1">
      <c r="A355" s="5">
        <v>359.0</v>
      </c>
      <c r="B355" s="6" t="s">
        <v>1166</v>
      </c>
      <c r="C355" s="5">
        <v>5.700543757355E12</v>
      </c>
      <c r="D355" s="6" t="s">
        <v>232</v>
      </c>
      <c r="E355" s="6" t="s">
        <v>1167</v>
      </c>
      <c r="F355" s="6" t="s">
        <v>1168</v>
      </c>
      <c r="G355" s="6" t="s">
        <v>603</v>
      </c>
      <c r="H355" s="7" t="s">
        <v>18</v>
      </c>
      <c r="I355" s="6"/>
    </row>
    <row r="356" ht="15.75" customHeight="1">
      <c r="A356" s="5">
        <v>360.0</v>
      </c>
      <c r="B356" s="6" t="s">
        <v>765</v>
      </c>
      <c r="C356" s="5">
        <v>5.700543757357E12</v>
      </c>
      <c r="D356" s="6" t="s">
        <v>158</v>
      </c>
      <c r="E356" s="6" t="s">
        <v>1169</v>
      </c>
      <c r="F356" s="6" t="s">
        <v>1170</v>
      </c>
      <c r="G356" s="6" t="s">
        <v>603</v>
      </c>
      <c r="H356" s="7" t="s">
        <v>18</v>
      </c>
      <c r="I356" s="6"/>
    </row>
    <row r="357" ht="15.75" customHeight="1">
      <c r="A357" s="5">
        <v>361.0</v>
      </c>
      <c r="B357" s="6" t="s">
        <v>1171</v>
      </c>
      <c r="C357" s="5">
        <v>5.700543757361E12</v>
      </c>
      <c r="D357" s="6" t="s">
        <v>1172</v>
      </c>
      <c r="E357" s="6" t="s">
        <v>327</v>
      </c>
      <c r="F357" s="6" t="s">
        <v>1173</v>
      </c>
      <c r="G357" s="6" t="s">
        <v>603</v>
      </c>
      <c r="H357" s="7" t="s">
        <v>18</v>
      </c>
      <c r="I357" s="6"/>
    </row>
    <row r="358" ht="15.75" customHeight="1">
      <c r="A358" s="5">
        <v>362.0</v>
      </c>
      <c r="B358" s="6" t="s">
        <v>1174</v>
      </c>
      <c r="C358" s="5">
        <v>5.700543757363E12</v>
      </c>
      <c r="D358" s="6" t="s">
        <v>1049</v>
      </c>
      <c r="E358" s="6" t="s">
        <v>775</v>
      </c>
      <c r="F358" s="6" t="s">
        <v>1175</v>
      </c>
      <c r="G358" s="6" t="s">
        <v>603</v>
      </c>
      <c r="H358" s="7" t="s">
        <v>18</v>
      </c>
      <c r="I358" s="6"/>
    </row>
    <row r="359" ht="15.75" customHeight="1">
      <c r="A359" s="5">
        <v>363.0</v>
      </c>
      <c r="B359" s="6" t="s">
        <v>1176</v>
      </c>
      <c r="C359" s="5">
        <v>5.700543757365E12</v>
      </c>
      <c r="D359" s="6" t="s">
        <v>1177</v>
      </c>
      <c r="E359" s="6" t="s">
        <v>1178</v>
      </c>
      <c r="F359" s="6" t="s">
        <v>1179</v>
      </c>
      <c r="G359" s="6" t="s">
        <v>603</v>
      </c>
      <c r="H359" s="7" t="s">
        <v>18</v>
      </c>
      <c r="I359" s="6"/>
    </row>
    <row r="360" ht="15.75" customHeight="1">
      <c r="A360" s="5">
        <v>364.0</v>
      </c>
      <c r="B360" s="6" t="s">
        <v>1180</v>
      </c>
      <c r="C360" s="5">
        <v>5.700543757367E12</v>
      </c>
      <c r="D360" s="6" t="s">
        <v>1181</v>
      </c>
      <c r="E360" s="6" t="s">
        <v>1182</v>
      </c>
      <c r="F360" s="6" t="s">
        <v>1183</v>
      </c>
      <c r="G360" s="6" t="s">
        <v>603</v>
      </c>
      <c r="H360" s="7" t="s">
        <v>18</v>
      </c>
      <c r="I360" s="6"/>
    </row>
    <row r="361" ht="15.75" customHeight="1">
      <c r="A361" s="5">
        <v>365.0</v>
      </c>
      <c r="B361" s="6" t="s">
        <v>1184</v>
      </c>
      <c r="C361" s="5">
        <v>5.700543757369E12</v>
      </c>
      <c r="D361" s="6" t="s">
        <v>1185</v>
      </c>
      <c r="E361" s="6" t="s">
        <v>972</v>
      </c>
      <c r="F361" s="6" t="s">
        <v>1186</v>
      </c>
      <c r="G361" s="6" t="s">
        <v>603</v>
      </c>
      <c r="H361" s="7" t="s">
        <v>18</v>
      </c>
      <c r="I361" s="6"/>
    </row>
    <row r="362" ht="15.75" customHeight="1">
      <c r="A362" s="5">
        <v>366.0</v>
      </c>
      <c r="B362" s="6" t="s">
        <v>1187</v>
      </c>
      <c r="C362" s="5">
        <v>5.700543757371E12</v>
      </c>
      <c r="D362" s="6" t="s">
        <v>1188</v>
      </c>
      <c r="E362" s="6" t="s">
        <v>1189</v>
      </c>
      <c r="F362" s="6" t="s">
        <v>1190</v>
      </c>
      <c r="G362" s="6" t="s">
        <v>603</v>
      </c>
      <c r="H362" s="7" t="s">
        <v>18</v>
      </c>
      <c r="I362" s="6"/>
    </row>
    <row r="363" ht="15.75" customHeight="1">
      <c r="A363" s="5">
        <v>367.0</v>
      </c>
      <c r="B363" s="6" t="s">
        <v>1191</v>
      </c>
      <c r="C363" s="5">
        <v>5.700543757372E12</v>
      </c>
      <c r="D363" s="6" t="s">
        <v>1192</v>
      </c>
      <c r="E363" s="6" t="s">
        <v>1193</v>
      </c>
      <c r="F363" s="6" t="s">
        <v>1194</v>
      </c>
      <c r="G363" s="6" t="s">
        <v>603</v>
      </c>
      <c r="H363" s="7" t="s">
        <v>18</v>
      </c>
      <c r="I363" s="6"/>
    </row>
    <row r="364" ht="15.75" customHeight="1">
      <c r="A364" s="5">
        <v>368.0</v>
      </c>
      <c r="B364" s="6" t="s">
        <v>1142</v>
      </c>
      <c r="C364" s="5">
        <v>5.700543757374E12</v>
      </c>
      <c r="D364" s="6" t="s">
        <v>1195</v>
      </c>
      <c r="E364" s="6" t="s">
        <v>1196</v>
      </c>
      <c r="F364" s="6" t="s">
        <v>1197</v>
      </c>
      <c r="G364" s="6" t="s">
        <v>603</v>
      </c>
      <c r="H364" s="7" t="s">
        <v>18</v>
      </c>
      <c r="I364" s="6"/>
    </row>
    <row r="365" ht="15.75" customHeight="1">
      <c r="A365" s="5">
        <v>369.0</v>
      </c>
      <c r="B365" s="6" t="s">
        <v>1198</v>
      </c>
      <c r="C365" s="5">
        <v>5.700543757376E12</v>
      </c>
      <c r="D365" s="6" t="s">
        <v>1199</v>
      </c>
      <c r="E365" s="6" t="s">
        <v>1200</v>
      </c>
      <c r="F365" s="6" t="s">
        <v>1201</v>
      </c>
      <c r="G365" s="6" t="s">
        <v>603</v>
      </c>
      <c r="H365" s="7" t="s">
        <v>18</v>
      </c>
      <c r="I365" s="6"/>
    </row>
    <row r="366" ht="15.75" customHeight="1">
      <c r="A366" s="5">
        <v>370.0</v>
      </c>
      <c r="B366" s="6" t="s">
        <v>1202</v>
      </c>
      <c r="C366" s="5">
        <v>5.700543757378E12</v>
      </c>
      <c r="D366" s="6" t="s">
        <v>1203</v>
      </c>
      <c r="E366" s="6" t="s">
        <v>1204</v>
      </c>
      <c r="F366" s="6" t="s">
        <v>1205</v>
      </c>
      <c r="G366" s="6" t="s">
        <v>603</v>
      </c>
      <c r="H366" s="7" t="s">
        <v>18</v>
      </c>
      <c r="I366" s="6"/>
    </row>
    <row r="367" ht="15.75" customHeight="1">
      <c r="A367" s="5">
        <v>371.0</v>
      </c>
      <c r="B367" s="6" t="s">
        <v>754</v>
      </c>
      <c r="C367" s="5">
        <v>5.70054375738E12</v>
      </c>
      <c r="D367" s="6" t="s">
        <v>1206</v>
      </c>
      <c r="E367" s="6" t="s">
        <v>1207</v>
      </c>
      <c r="F367" s="6" t="s">
        <v>1208</v>
      </c>
      <c r="G367" s="6" t="s">
        <v>603</v>
      </c>
      <c r="H367" s="7" t="s">
        <v>18</v>
      </c>
      <c r="I367" s="6"/>
    </row>
    <row r="368" ht="15.75" customHeight="1">
      <c r="A368" s="5">
        <v>372.0</v>
      </c>
      <c r="B368" s="6" t="s">
        <v>970</v>
      </c>
      <c r="C368" s="5">
        <v>5.700543757384E12</v>
      </c>
      <c r="D368" s="6" t="s">
        <v>1209</v>
      </c>
      <c r="E368" s="6" t="s">
        <v>39</v>
      </c>
      <c r="F368" s="6" t="s">
        <v>1210</v>
      </c>
      <c r="G368" s="6" t="s">
        <v>603</v>
      </c>
      <c r="H368" s="7" t="s">
        <v>18</v>
      </c>
      <c r="I368" s="6"/>
    </row>
    <row r="369" ht="15.75" customHeight="1">
      <c r="A369" s="5">
        <v>373.0</v>
      </c>
      <c r="B369" s="6" t="s">
        <v>821</v>
      </c>
      <c r="C369" s="5">
        <v>5.700543757386E12</v>
      </c>
      <c r="D369" s="6" t="s">
        <v>1211</v>
      </c>
      <c r="E369" s="6" t="s">
        <v>219</v>
      </c>
      <c r="F369" s="6" t="s">
        <v>1212</v>
      </c>
      <c r="G369" s="6" t="s">
        <v>603</v>
      </c>
      <c r="H369" s="7" t="s">
        <v>18</v>
      </c>
      <c r="I369" s="6"/>
    </row>
    <row r="370" ht="15.75" customHeight="1">
      <c r="A370" s="5">
        <v>374.0</v>
      </c>
      <c r="B370" s="6" t="s">
        <v>1198</v>
      </c>
      <c r="C370" s="5">
        <v>5.700543757388E12</v>
      </c>
      <c r="D370" s="6" t="s">
        <v>1213</v>
      </c>
      <c r="E370" s="6" t="s">
        <v>1214</v>
      </c>
      <c r="F370" s="6" t="s">
        <v>1215</v>
      </c>
      <c r="G370" s="6" t="s">
        <v>603</v>
      </c>
      <c r="H370" s="7" t="s">
        <v>18</v>
      </c>
      <c r="I370" s="6"/>
    </row>
    <row r="371" ht="15.75" customHeight="1">
      <c r="A371" s="5">
        <v>375.0</v>
      </c>
      <c r="B371" s="6" t="s">
        <v>1216</v>
      </c>
      <c r="C371" s="5">
        <v>5.700543757391E12</v>
      </c>
      <c r="D371" s="6" t="s">
        <v>1217</v>
      </c>
      <c r="E371" s="6" t="s">
        <v>1218</v>
      </c>
      <c r="F371" s="6" t="s">
        <v>1219</v>
      </c>
      <c r="G371" s="6" t="s">
        <v>603</v>
      </c>
      <c r="H371" s="7" t="s">
        <v>18</v>
      </c>
      <c r="I371" s="6"/>
    </row>
    <row r="372" ht="15.75" customHeight="1">
      <c r="A372" s="5">
        <v>376.0</v>
      </c>
      <c r="B372" s="6" t="s">
        <v>375</v>
      </c>
      <c r="C372" s="5">
        <v>5.70054375392E11</v>
      </c>
      <c r="D372" s="6" t="s">
        <v>1220</v>
      </c>
      <c r="E372" s="6" t="s">
        <v>1221</v>
      </c>
      <c r="F372" s="6" t="s">
        <v>1222</v>
      </c>
      <c r="G372" s="6" t="s">
        <v>722</v>
      </c>
      <c r="H372" s="7" t="s">
        <v>18</v>
      </c>
      <c r="I372" s="6"/>
    </row>
    <row r="373" ht="15.75" customHeight="1">
      <c r="A373" s="5">
        <v>377.0</v>
      </c>
      <c r="B373" s="6" t="s">
        <v>423</v>
      </c>
      <c r="C373" s="5">
        <v>5.70054375394E11</v>
      </c>
      <c r="D373" s="6" t="s">
        <v>1220</v>
      </c>
      <c r="E373" s="6" t="s">
        <v>1221</v>
      </c>
      <c r="F373" s="6" t="s">
        <v>1096</v>
      </c>
      <c r="G373" s="6" t="s">
        <v>603</v>
      </c>
      <c r="H373" s="7" t="s">
        <v>18</v>
      </c>
      <c r="I373" s="6"/>
    </row>
    <row r="374" ht="15.75" customHeight="1">
      <c r="A374" s="5">
        <v>378.0</v>
      </c>
      <c r="B374" s="6" t="s">
        <v>102</v>
      </c>
      <c r="C374" s="5">
        <v>5.70054375395E11</v>
      </c>
      <c r="D374" s="6" t="s">
        <v>1223</v>
      </c>
      <c r="E374" s="6" t="s">
        <v>176</v>
      </c>
      <c r="F374" s="6" t="s">
        <v>1224</v>
      </c>
      <c r="G374" s="6" t="s">
        <v>603</v>
      </c>
      <c r="H374" s="7" t="s">
        <v>18</v>
      </c>
      <c r="I374" s="6"/>
    </row>
    <row r="375" ht="15.75" customHeight="1">
      <c r="A375" s="5">
        <v>379.0</v>
      </c>
      <c r="B375" s="6" t="s">
        <v>59</v>
      </c>
      <c r="C375" s="5">
        <v>5.70054375397E11</v>
      </c>
      <c r="D375" s="6" t="s">
        <v>1225</v>
      </c>
      <c r="E375" s="6" t="s">
        <v>1115</v>
      </c>
      <c r="F375" s="6" t="s">
        <v>1226</v>
      </c>
      <c r="G375" s="6" t="s">
        <v>603</v>
      </c>
      <c r="H375" s="7" t="s">
        <v>18</v>
      </c>
      <c r="I375" s="6"/>
    </row>
    <row r="376" ht="15.75" customHeight="1">
      <c r="A376" s="5">
        <v>380.0</v>
      </c>
      <c r="B376" s="6" t="s">
        <v>1227</v>
      </c>
      <c r="C376" s="5">
        <v>5.70054375399E11</v>
      </c>
      <c r="D376" s="6" t="s">
        <v>562</v>
      </c>
      <c r="E376" s="6" t="s">
        <v>1228</v>
      </c>
      <c r="F376" s="6" t="s">
        <v>1229</v>
      </c>
      <c r="G376" s="6" t="s">
        <v>603</v>
      </c>
      <c r="H376" s="7" t="s">
        <v>18</v>
      </c>
      <c r="I376" s="6"/>
    </row>
    <row r="377" ht="15.75" customHeight="1">
      <c r="A377" s="5">
        <v>381.0</v>
      </c>
      <c r="B377" s="6" t="s">
        <v>70</v>
      </c>
      <c r="C377" s="5">
        <v>5.70054375401E11</v>
      </c>
      <c r="D377" s="6" t="s">
        <v>1230</v>
      </c>
      <c r="E377" s="6" t="s">
        <v>1231</v>
      </c>
      <c r="F377" s="6" t="s">
        <v>1232</v>
      </c>
      <c r="G377" s="6" t="s">
        <v>603</v>
      </c>
      <c r="H377" s="7" t="s">
        <v>18</v>
      </c>
      <c r="I377" s="6"/>
    </row>
    <row r="378" ht="15.75" customHeight="1">
      <c r="A378" s="5">
        <v>382.0</v>
      </c>
      <c r="B378" s="6" t="s">
        <v>81</v>
      </c>
      <c r="C378" s="5">
        <v>5.70054375406E11</v>
      </c>
      <c r="D378" s="6" t="s">
        <v>1233</v>
      </c>
      <c r="E378" s="6" t="s">
        <v>21</v>
      </c>
      <c r="F378" s="6" t="s">
        <v>1234</v>
      </c>
      <c r="G378" s="6" t="s">
        <v>603</v>
      </c>
      <c r="H378" s="7" t="s">
        <v>18</v>
      </c>
      <c r="I378" s="6"/>
    </row>
    <row r="379" ht="15.75" customHeight="1">
      <c r="A379" s="5">
        <v>383.0</v>
      </c>
      <c r="B379" s="6" t="s">
        <v>1235</v>
      </c>
      <c r="C379" s="5">
        <v>5.70054375403E11</v>
      </c>
      <c r="D379" s="6" t="s">
        <v>1236</v>
      </c>
      <c r="E379" s="6" t="s">
        <v>21</v>
      </c>
      <c r="F379" s="6" t="s">
        <v>1237</v>
      </c>
      <c r="G379" s="6" t="s">
        <v>603</v>
      </c>
      <c r="H379" s="7" t="s">
        <v>18</v>
      </c>
      <c r="I379" s="6"/>
    </row>
    <row r="380" ht="15.75" customHeight="1">
      <c r="A380" s="5">
        <v>384.0</v>
      </c>
      <c r="B380" s="6" t="s">
        <v>1238</v>
      </c>
      <c r="C380" s="5">
        <v>5.70054375415E11</v>
      </c>
      <c r="D380" s="6" t="s">
        <v>1239</v>
      </c>
      <c r="E380" s="6" t="s">
        <v>276</v>
      </c>
      <c r="F380" s="6" t="s">
        <v>1240</v>
      </c>
      <c r="G380" s="6" t="s">
        <v>603</v>
      </c>
      <c r="H380" s="7" t="s">
        <v>18</v>
      </c>
      <c r="I380" s="6"/>
    </row>
    <row r="381" ht="15.75" customHeight="1">
      <c r="A381" s="5">
        <v>385.0</v>
      </c>
      <c r="B381" s="6" t="s">
        <v>1241</v>
      </c>
      <c r="C381" s="5">
        <v>5.70054375417E11</v>
      </c>
      <c r="D381" s="6" t="s">
        <v>1242</v>
      </c>
      <c r="E381" s="6" t="s">
        <v>1243</v>
      </c>
      <c r="F381" s="6" t="s">
        <v>1244</v>
      </c>
      <c r="G381" s="6" t="s">
        <v>603</v>
      </c>
      <c r="H381" s="7" t="s">
        <v>18</v>
      </c>
      <c r="I381" s="6"/>
    </row>
    <row r="382" ht="15.75" customHeight="1">
      <c r="A382" s="5">
        <v>386.0</v>
      </c>
      <c r="B382" s="6" t="s">
        <v>285</v>
      </c>
      <c r="C382" s="5">
        <v>5.70054375419E11</v>
      </c>
      <c r="D382" s="6" t="s">
        <v>1245</v>
      </c>
      <c r="E382" s="6" t="s">
        <v>1246</v>
      </c>
      <c r="F382" s="6" t="s">
        <v>1247</v>
      </c>
      <c r="G382" s="6" t="s">
        <v>603</v>
      </c>
      <c r="H382" s="7" t="s">
        <v>18</v>
      </c>
      <c r="I382" s="6"/>
    </row>
    <row r="383" ht="15.75" customHeight="1">
      <c r="A383" s="5">
        <v>387.0</v>
      </c>
      <c r="B383" s="6" t="s">
        <v>1248</v>
      </c>
      <c r="C383" s="5">
        <v>5.70054375421E11</v>
      </c>
      <c r="D383" s="6" t="s">
        <v>67</v>
      </c>
      <c r="E383" s="6" t="s">
        <v>1249</v>
      </c>
      <c r="F383" s="6" t="s">
        <v>1250</v>
      </c>
      <c r="G383" s="6" t="s">
        <v>603</v>
      </c>
      <c r="H383" s="7" t="s">
        <v>18</v>
      </c>
      <c r="I383" s="6"/>
    </row>
    <row r="384" ht="15.75" customHeight="1">
      <c r="A384" s="5">
        <v>388.0</v>
      </c>
      <c r="B384" s="6" t="s">
        <v>1251</v>
      </c>
      <c r="C384" s="5">
        <v>5.70054375422E11</v>
      </c>
      <c r="D384" s="6" t="s">
        <v>1252</v>
      </c>
      <c r="E384" s="6" t="s">
        <v>1253</v>
      </c>
      <c r="F384" s="6" t="s">
        <v>1254</v>
      </c>
      <c r="G384" s="6" t="s">
        <v>603</v>
      </c>
      <c r="H384" s="7" t="s">
        <v>18</v>
      </c>
      <c r="I384" s="6"/>
    </row>
    <row r="385" ht="15.75" customHeight="1">
      <c r="A385" s="5">
        <v>389.0</v>
      </c>
      <c r="B385" s="6" t="s">
        <v>1255</v>
      </c>
      <c r="C385" s="5">
        <v>5.70054375424E11</v>
      </c>
      <c r="D385" s="6" t="s">
        <v>1256</v>
      </c>
      <c r="E385" s="6" t="s">
        <v>763</v>
      </c>
      <c r="F385" s="6" t="s">
        <v>1257</v>
      </c>
      <c r="G385" s="6" t="s">
        <v>603</v>
      </c>
      <c r="H385" s="7" t="s">
        <v>18</v>
      </c>
      <c r="I385" s="6"/>
    </row>
    <row r="386" ht="15.75" customHeight="1">
      <c r="A386" s="5">
        <v>390.0</v>
      </c>
      <c r="B386" s="6" t="s">
        <v>418</v>
      </c>
      <c r="C386" s="5">
        <v>5.70054375428E11</v>
      </c>
      <c r="D386" s="6" t="s">
        <v>1258</v>
      </c>
      <c r="E386" s="6" t="s">
        <v>1259</v>
      </c>
      <c r="F386" s="6" t="s">
        <v>1260</v>
      </c>
      <c r="G386" s="6" t="s">
        <v>603</v>
      </c>
      <c r="H386" s="7" t="s">
        <v>18</v>
      </c>
      <c r="I386" s="6"/>
    </row>
    <row r="387" ht="15.75" customHeight="1">
      <c r="A387" s="5">
        <v>391.0</v>
      </c>
      <c r="B387" s="6" t="s">
        <v>1261</v>
      </c>
      <c r="C387" s="5">
        <v>5.70054375429E11</v>
      </c>
      <c r="D387" s="6" t="s">
        <v>1262</v>
      </c>
      <c r="E387" s="6" t="s">
        <v>164</v>
      </c>
      <c r="F387" s="6" t="s">
        <v>1263</v>
      </c>
      <c r="G387" s="6" t="s">
        <v>603</v>
      </c>
      <c r="H387" s="7" t="s">
        <v>18</v>
      </c>
      <c r="I387" s="6"/>
    </row>
    <row r="388" ht="15.75" customHeight="1">
      <c r="A388" s="5">
        <v>392.0</v>
      </c>
      <c r="B388" s="6" t="s">
        <v>1200</v>
      </c>
      <c r="C388" s="5">
        <v>5.70054375435E11</v>
      </c>
      <c r="D388" s="6" t="s">
        <v>1264</v>
      </c>
      <c r="E388" s="6" t="s">
        <v>102</v>
      </c>
      <c r="F388" s="6" t="s">
        <v>1265</v>
      </c>
      <c r="G388" s="6" t="s">
        <v>603</v>
      </c>
      <c r="H388" s="7" t="s">
        <v>18</v>
      </c>
      <c r="I388" s="6"/>
    </row>
    <row r="389" ht="15.75" customHeight="1">
      <c r="A389" s="5">
        <v>393.0</v>
      </c>
      <c r="B389" s="6" t="s">
        <v>1266</v>
      </c>
      <c r="C389" s="5">
        <v>5.70054375443E11</v>
      </c>
      <c r="D389" s="6" t="s">
        <v>1267</v>
      </c>
      <c r="E389" s="6" t="s">
        <v>1268</v>
      </c>
      <c r="F389" s="6" t="s">
        <v>1269</v>
      </c>
      <c r="G389" s="6" t="s">
        <v>603</v>
      </c>
      <c r="H389" s="7" t="s">
        <v>18</v>
      </c>
      <c r="I389" s="6"/>
    </row>
    <row r="390" ht="15.75" customHeight="1">
      <c r="A390" s="5">
        <v>394.0</v>
      </c>
      <c r="B390" s="6" t="s">
        <v>1270</v>
      </c>
      <c r="C390" s="5">
        <v>5.70054375444E11</v>
      </c>
      <c r="D390" s="6" t="s">
        <v>1271</v>
      </c>
      <c r="E390" s="6" t="s">
        <v>1272</v>
      </c>
      <c r="F390" s="6" t="s">
        <v>1273</v>
      </c>
      <c r="G390" s="6" t="s">
        <v>603</v>
      </c>
      <c r="H390" s="7" t="s">
        <v>18</v>
      </c>
      <c r="I390" s="6"/>
    </row>
    <row r="391" ht="15.75" customHeight="1">
      <c r="A391" s="5">
        <v>395.0</v>
      </c>
      <c r="B391" s="6" t="s">
        <v>494</v>
      </c>
      <c r="C391" s="5">
        <v>5.70054375455E11</v>
      </c>
      <c r="D391" s="6" t="s">
        <v>1274</v>
      </c>
      <c r="E391" s="6" t="s">
        <v>1275</v>
      </c>
      <c r="F391" s="6" t="s">
        <v>1276</v>
      </c>
      <c r="G391" s="6" t="s">
        <v>603</v>
      </c>
      <c r="H391" s="7" t="s">
        <v>18</v>
      </c>
      <c r="I391" s="6"/>
    </row>
    <row r="392" ht="15.75" customHeight="1">
      <c r="A392" s="5">
        <v>396.0</v>
      </c>
      <c r="B392" s="6" t="s">
        <v>1277</v>
      </c>
      <c r="C392" s="5">
        <v>5.70054375447E11</v>
      </c>
      <c r="D392" s="6" t="s">
        <v>1278</v>
      </c>
      <c r="E392" s="6" t="s">
        <v>428</v>
      </c>
      <c r="F392" s="6" t="s">
        <v>1279</v>
      </c>
      <c r="G392" s="6" t="s">
        <v>603</v>
      </c>
      <c r="H392" s="7" t="s">
        <v>18</v>
      </c>
      <c r="I392" s="6"/>
    </row>
    <row r="393" ht="15.75" customHeight="1">
      <c r="A393" s="5">
        <v>397.0</v>
      </c>
      <c r="B393" s="6" t="s">
        <v>77</v>
      </c>
      <c r="C393" s="5">
        <v>5.70054375449E11</v>
      </c>
      <c r="D393" s="6" t="s">
        <v>1280</v>
      </c>
      <c r="E393" s="6" t="s">
        <v>1281</v>
      </c>
      <c r="F393" s="6" t="s">
        <v>38</v>
      </c>
      <c r="G393" s="6" t="s">
        <v>603</v>
      </c>
      <c r="H393" s="7" t="s">
        <v>18</v>
      </c>
      <c r="I393" s="6"/>
    </row>
    <row r="394" ht="15.75" customHeight="1">
      <c r="A394" s="5">
        <v>398.0</v>
      </c>
      <c r="B394" s="6" t="s">
        <v>201</v>
      </c>
      <c r="C394" s="5">
        <v>5.70054375452E11</v>
      </c>
      <c r="D394" s="6" t="s">
        <v>104</v>
      </c>
      <c r="E394" s="6" t="s">
        <v>1266</v>
      </c>
      <c r="F394" s="6" t="s">
        <v>1282</v>
      </c>
      <c r="G394" s="6" t="s">
        <v>603</v>
      </c>
      <c r="H394" s="7" t="s">
        <v>18</v>
      </c>
      <c r="I394" s="6"/>
    </row>
    <row r="395" ht="15.75" customHeight="1">
      <c r="A395" s="5">
        <v>399.0</v>
      </c>
      <c r="B395" s="6" t="s">
        <v>675</v>
      </c>
      <c r="C395" s="5">
        <v>5.70054375453E11</v>
      </c>
      <c r="D395" s="6" t="s">
        <v>1283</v>
      </c>
      <c r="E395" s="6" t="s">
        <v>1284</v>
      </c>
      <c r="F395" s="6" t="s">
        <v>1285</v>
      </c>
      <c r="G395" s="6" t="s">
        <v>603</v>
      </c>
      <c r="H395" s="7" t="s">
        <v>18</v>
      </c>
      <c r="I395" s="6"/>
    </row>
    <row r="396" ht="15.75" customHeight="1">
      <c r="A396" s="5">
        <v>400.0</v>
      </c>
      <c r="B396" s="6" t="s">
        <v>1286</v>
      </c>
      <c r="C396" s="5">
        <v>5.70054375455E11</v>
      </c>
      <c r="D396" s="6" t="s">
        <v>427</v>
      </c>
      <c r="E396" s="6" t="s">
        <v>1287</v>
      </c>
      <c r="F396" s="6" t="s">
        <v>1250</v>
      </c>
      <c r="G396" s="6" t="s">
        <v>603</v>
      </c>
      <c r="H396" s="7" t="s">
        <v>18</v>
      </c>
      <c r="I396" s="6"/>
    </row>
    <row r="397" ht="15.75" customHeight="1">
      <c r="A397" s="5">
        <v>401.0</v>
      </c>
      <c r="B397" s="6" t="s">
        <v>1288</v>
      </c>
      <c r="C397" s="5">
        <v>5.70054375458E11</v>
      </c>
      <c r="D397" s="6" t="s">
        <v>1289</v>
      </c>
      <c r="E397" s="6" t="s">
        <v>1290</v>
      </c>
      <c r="F397" s="6" t="s">
        <v>1291</v>
      </c>
      <c r="G397" s="6" t="s">
        <v>603</v>
      </c>
      <c r="H397" s="7" t="s">
        <v>18</v>
      </c>
      <c r="I397" s="6"/>
    </row>
    <row r="398" ht="15.75" customHeight="1">
      <c r="A398" s="5">
        <v>402.0</v>
      </c>
      <c r="B398" s="6" t="s">
        <v>1292</v>
      </c>
      <c r="C398" s="5">
        <v>5.7005437546E11</v>
      </c>
      <c r="D398" s="6" t="s">
        <v>1293</v>
      </c>
      <c r="E398" s="6" t="s">
        <v>1294</v>
      </c>
      <c r="F398" s="6" t="s">
        <v>1295</v>
      </c>
      <c r="G398" s="6" t="s">
        <v>603</v>
      </c>
      <c r="H398" s="7" t="s">
        <v>18</v>
      </c>
      <c r="I398" s="6"/>
    </row>
    <row r="399" ht="15.75" customHeight="1">
      <c r="A399" s="5">
        <v>403.0</v>
      </c>
      <c r="B399" s="6" t="s">
        <v>1296</v>
      </c>
      <c r="C399" s="5">
        <v>5.70054375462E11</v>
      </c>
      <c r="D399" s="6" t="s">
        <v>1297</v>
      </c>
      <c r="E399" s="6" t="s">
        <v>1298</v>
      </c>
      <c r="F399" s="6" t="s">
        <v>1299</v>
      </c>
      <c r="G399" s="6" t="s">
        <v>603</v>
      </c>
      <c r="H399" s="7" t="s">
        <v>18</v>
      </c>
      <c r="I399" s="6"/>
    </row>
    <row r="400" ht="15.75" customHeight="1">
      <c r="A400" s="5">
        <v>404.0</v>
      </c>
      <c r="B400" s="6" t="s">
        <v>246</v>
      </c>
      <c r="C400" s="5">
        <v>5.70054375464E11</v>
      </c>
      <c r="D400" s="6" t="s">
        <v>1300</v>
      </c>
      <c r="E400" s="6" t="s">
        <v>1301</v>
      </c>
      <c r="F400" s="6" t="s">
        <v>1302</v>
      </c>
      <c r="G400" s="6" t="s">
        <v>603</v>
      </c>
      <c r="H400" s="7" t="s">
        <v>18</v>
      </c>
      <c r="I400" s="6"/>
    </row>
    <row r="401" ht="15.75" customHeight="1">
      <c r="A401" s="5">
        <v>405.0</v>
      </c>
      <c r="B401" s="6" t="s">
        <v>276</v>
      </c>
      <c r="C401" s="5">
        <v>5.70054375467E11</v>
      </c>
      <c r="D401" s="6" t="s">
        <v>1303</v>
      </c>
      <c r="E401" s="6" t="s">
        <v>1304</v>
      </c>
      <c r="F401" s="6" t="s">
        <v>227</v>
      </c>
      <c r="G401" s="6" t="s">
        <v>603</v>
      </c>
      <c r="H401" s="7" t="s">
        <v>18</v>
      </c>
      <c r="I401" s="6"/>
    </row>
    <row r="402" ht="15.75" customHeight="1">
      <c r="A402" s="5">
        <v>406.0</v>
      </c>
      <c r="B402" s="6" t="s">
        <v>115</v>
      </c>
      <c r="C402" s="5">
        <v>5.70054375469E11</v>
      </c>
      <c r="D402" s="6" t="s">
        <v>1305</v>
      </c>
      <c r="E402" s="6" t="s">
        <v>201</v>
      </c>
      <c r="F402" s="6" t="s">
        <v>1306</v>
      </c>
      <c r="G402" s="6" t="s">
        <v>603</v>
      </c>
      <c r="H402" s="7" t="s">
        <v>18</v>
      </c>
      <c r="I402" s="6"/>
    </row>
    <row r="403" ht="15.75" customHeight="1">
      <c r="A403" s="5">
        <v>407.0</v>
      </c>
      <c r="B403" s="6" t="s">
        <v>1307</v>
      </c>
      <c r="C403" s="5">
        <v>5.70054375471E11</v>
      </c>
      <c r="D403" s="6" t="s">
        <v>416</v>
      </c>
      <c r="E403" s="6" t="s">
        <v>1308</v>
      </c>
      <c r="F403" s="6" t="s">
        <v>1309</v>
      </c>
      <c r="G403" s="6" t="s">
        <v>603</v>
      </c>
      <c r="H403" s="7" t="s">
        <v>18</v>
      </c>
      <c r="I403" s="6"/>
    </row>
    <row r="404" ht="15.75" customHeight="1">
      <c r="A404" s="5">
        <v>408.0</v>
      </c>
      <c r="B404" s="6" t="s">
        <v>93</v>
      </c>
      <c r="C404" s="5">
        <v>5.70054375471E11</v>
      </c>
      <c r="D404" s="6" t="s">
        <v>401</v>
      </c>
      <c r="E404" s="6" t="s">
        <v>1310</v>
      </c>
      <c r="F404" s="6" t="s">
        <v>1311</v>
      </c>
      <c r="G404" s="6" t="s">
        <v>603</v>
      </c>
      <c r="H404" s="7" t="s">
        <v>18</v>
      </c>
      <c r="I404" s="6"/>
    </row>
    <row r="405" ht="15.75" customHeight="1">
      <c r="A405" s="5">
        <v>410.0</v>
      </c>
      <c r="B405" s="6" t="s">
        <v>1312</v>
      </c>
      <c r="C405" s="5">
        <v>5.70054375482E11</v>
      </c>
      <c r="D405" s="6" t="s">
        <v>1293</v>
      </c>
      <c r="E405" s="6" t="s">
        <v>201</v>
      </c>
      <c r="F405" s="6" t="s">
        <v>1291</v>
      </c>
      <c r="G405" s="6" t="s">
        <v>603</v>
      </c>
      <c r="H405" s="7" t="s">
        <v>18</v>
      </c>
      <c r="I405" s="6"/>
    </row>
    <row r="406" ht="15.75" customHeight="1">
      <c r="A406" s="5">
        <v>411.0</v>
      </c>
      <c r="B406" s="6" t="s">
        <v>1313</v>
      </c>
      <c r="C406" s="5">
        <v>5.70054375484E11</v>
      </c>
      <c r="D406" s="6" t="s">
        <v>1314</v>
      </c>
      <c r="E406" s="6" t="s">
        <v>1315</v>
      </c>
      <c r="F406" s="6" t="s">
        <v>1316</v>
      </c>
      <c r="G406" s="6" t="s">
        <v>572</v>
      </c>
      <c r="H406" s="7" t="s">
        <v>18</v>
      </c>
      <c r="I406" s="6"/>
    </row>
    <row r="407" ht="15.75" customHeight="1">
      <c r="A407" s="5">
        <v>412.0</v>
      </c>
      <c r="B407" s="6" t="s">
        <v>1317</v>
      </c>
      <c r="C407" s="5">
        <v>5.70054375487E11</v>
      </c>
      <c r="D407" s="6" t="s">
        <v>1318</v>
      </c>
      <c r="E407" s="6" t="s">
        <v>1319</v>
      </c>
      <c r="F407" s="6" t="s">
        <v>1320</v>
      </c>
      <c r="G407" s="6" t="s">
        <v>603</v>
      </c>
      <c r="H407" s="7" t="s">
        <v>18</v>
      </c>
      <c r="I407" s="6"/>
    </row>
    <row r="408" ht="15.75" customHeight="1">
      <c r="A408" s="5">
        <v>413.0</v>
      </c>
      <c r="B408" s="6" t="s">
        <v>41</v>
      </c>
      <c r="C408" s="5">
        <v>5.70054375488E11</v>
      </c>
      <c r="D408" s="6" t="s">
        <v>401</v>
      </c>
      <c r="E408" s="6" t="s">
        <v>1321</v>
      </c>
      <c r="F408" s="6" t="s">
        <v>1322</v>
      </c>
      <c r="G408" s="6" t="s">
        <v>603</v>
      </c>
      <c r="H408" s="7" t="s">
        <v>18</v>
      </c>
      <c r="I408" s="6"/>
    </row>
    <row r="409" ht="15.75" customHeight="1">
      <c r="A409" s="5">
        <v>414.0</v>
      </c>
      <c r="B409" s="6" t="s">
        <v>1323</v>
      </c>
      <c r="C409" s="5">
        <v>5.70054375489E11</v>
      </c>
      <c r="D409" s="6" t="s">
        <v>1324</v>
      </c>
      <c r="E409" s="6" t="s">
        <v>1325</v>
      </c>
      <c r="F409" s="6" t="s">
        <v>1326</v>
      </c>
      <c r="G409" s="6" t="s">
        <v>603</v>
      </c>
      <c r="H409" s="7" t="s">
        <v>18</v>
      </c>
      <c r="I409" s="6"/>
    </row>
    <row r="410" ht="15.75" customHeight="1">
      <c r="A410" s="5">
        <v>415.0</v>
      </c>
      <c r="B410" s="6" t="s">
        <v>1327</v>
      </c>
      <c r="C410" s="5">
        <v>5.70054375419E11</v>
      </c>
      <c r="D410" s="6" t="s">
        <v>1328</v>
      </c>
      <c r="E410" s="6" t="s">
        <v>1329</v>
      </c>
      <c r="F410" s="6" t="s">
        <v>1330</v>
      </c>
      <c r="G410" s="6" t="s">
        <v>603</v>
      </c>
      <c r="H410" s="7" t="s">
        <v>18</v>
      </c>
      <c r="I410" s="6"/>
    </row>
    <row r="411" ht="15.75" customHeight="1">
      <c r="A411" s="5">
        <v>416.0</v>
      </c>
      <c r="B411" s="6" t="s">
        <v>364</v>
      </c>
      <c r="C411" s="5">
        <v>5.70054375499E11</v>
      </c>
      <c r="D411" s="6" t="s">
        <v>1331</v>
      </c>
      <c r="E411" s="6" t="s">
        <v>1332</v>
      </c>
      <c r="F411" s="6" t="s">
        <v>1333</v>
      </c>
      <c r="G411" s="6" t="s">
        <v>603</v>
      </c>
      <c r="H411" s="7" t="s">
        <v>18</v>
      </c>
      <c r="I411" s="6"/>
    </row>
    <row r="412" ht="15.75" customHeight="1">
      <c r="A412" s="5">
        <v>417.0</v>
      </c>
      <c r="B412" s="6" t="s">
        <v>164</v>
      </c>
      <c r="C412" s="5">
        <v>5.70054375557E11</v>
      </c>
      <c r="D412" s="6" t="s">
        <v>1334</v>
      </c>
      <c r="E412" s="6" t="s">
        <v>643</v>
      </c>
      <c r="F412" s="6" t="s">
        <v>1335</v>
      </c>
      <c r="G412" s="6" t="s">
        <v>603</v>
      </c>
      <c r="H412" s="7" t="s">
        <v>18</v>
      </c>
      <c r="I412" s="6"/>
    </row>
    <row r="413" ht="15.75" customHeight="1">
      <c r="A413" s="5">
        <v>418.0</v>
      </c>
      <c r="B413" s="6" t="s">
        <v>170</v>
      </c>
      <c r="C413" s="5">
        <v>5.70054000001E11</v>
      </c>
      <c r="D413" s="6" t="s">
        <v>1336</v>
      </c>
      <c r="E413" s="6" t="s">
        <v>1337</v>
      </c>
      <c r="F413" s="6" t="s">
        <v>1338</v>
      </c>
      <c r="G413" s="6" t="s">
        <v>603</v>
      </c>
      <c r="H413" s="7" t="s">
        <v>18</v>
      </c>
      <c r="I413" s="6"/>
    </row>
    <row r="414" ht="15.75" customHeight="1">
      <c r="A414" s="5">
        <v>419.0</v>
      </c>
      <c r="B414" s="6" t="s">
        <v>1339</v>
      </c>
      <c r="C414" s="5">
        <v>5.70054000002E11</v>
      </c>
      <c r="D414" s="6" t="s">
        <v>1293</v>
      </c>
      <c r="E414" s="6" t="s">
        <v>1340</v>
      </c>
      <c r="F414" s="6" t="s">
        <v>1341</v>
      </c>
      <c r="G414" s="6" t="s">
        <v>722</v>
      </c>
      <c r="H414" s="7" t="s">
        <v>18</v>
      </c>
      <c r="I414" s="6"/>
    </row>
    <row r="415" ht="15.75" customHeight="1">
      <c r="A415" s="5">
        <v>420.0</v>
      </c>
      <c r="B415" s="6" t="s">
        <v>1342</v>
      </c>
      <c r="C415" s="5">
        <v>5.70054000003E11</v>
      </c>
      <c r="D415" s="6" t="s">
        <v>1343</v>
      </c>
      <c r="E415" s="6" t="s">
        <v>93</v>
      </c>
      <c r="F415" s="6" t="s">
        <v>1344</v>
      </c>
      <c r="G415" s="6" t="s">
        <v>603</v>
      </c>
      <c r="H415" s="7" t="s">
        <v>18</v>
      </c>
      <c r="I415" s="6"/>
    </row>
    <row r="416" ht="15.75" customHeight="1">
      <c r="A416" s="5">
        <v>421.0</v>
      </c>
      <c r="B416" s="6" t="s">
        <v>1345</v>
      </c>
      <c r="C416" s="5">
        <v>5.70054000005E11</v>
      </c>
      <c r="D416" s="6" t="s">
        <v>1346</v>
      </c>
      <c r="E416" s="6" t="s">
        <v>402</v>
      </c>
      <c r="F416" s="6" t="s">
        <v>1347</v>
      </c>
      <c r="G416" s="6" t="s">
        <v>603</v>
      </c>
      <c r="H416" s="7" t="s">
        <v>18</v>
      </c>
      <c r="I416" s="6"/>
    </row>
    <row r="417" ht="15.75" customHeight="1">
      <c r="A417" s="5">
        <v>422.0</v>
      </c>
      <c r="B417" s="6" t="s">
        <v>1348</v>
      </c>
      <c r="C417" s="5">
        <v>5.70054000006E11</v>
      </c>
      <c r="D417" s="6" t="s">
        <v>1177</v>
      </c>
      <c r="E417" s="6" t="s">
        <v>55</v>
      </c>
      <c r="F417" s="6" t="s">
        <v>1349</v>
      </c>
      <c r="G417" s="6" t="s">
        <v>603</v>
      </c>
      <c r="H417" s="7" t="s">
        <v>18</v>
      </c>
      <c r="I417" s="6"/>
    </row>
    <row r="418" ht="15.75" customHeight="1">
      <c r="A418" s="5">
        <v>423.0</v>
      </c>
      <c r="B418" s="6" t="s">
        <v>1350</v>
      </c>
      <c r="C418" s="5">
        <v>5.70054000007E11</v>
      </c>
      <c r="D418" s="6" t="s">
        <v>1351</v>
      </c>
      <c r="E418" s="6" t="s">
        <v>170</v>
      </c>
      <c r="F418" s="6" t="s">
        <v>1352</v>
      </c>
      <c r="G418" s="6" t="s">
        <v>603</v>
      </c>
      <c r="H418" s="7" t="s">
        <v>18</v>
      </c>
      <c r="I418" s="6"/>
    </row>
    <row r="419" ht="15.75" customHeight="1">
      <c r="A419" s="5">
        <v>424.0</v>
      </c>
      <c r="B419" s="6" t="s">
        <v>1353</v>
      </c>
      <c r="C419" s="5">
        <v>5.70054000008E11</v>
      </c>
      <c r="D419" s="6" t="s">
        <v>1354</v>
      </c>
      <c r="E419" s="6" t="s">
        <v>442</v>
      </c>
      <c r="F419" s="6" t="s">
        <v>1355</v>
      </c>
      <c r="G419" s="6" t="s">
        <v>603</v>
      </c>
      <c r="H419" s="7" t="s">
        <v>18</v>
      </c>
      <c r="I419" s="6"/>
    </row>
    <row r="420" ht="15.75" customHeight="1">
      <c r="A420" s="5">
        <v>425.0</v>
      </c>
      <c r="B420" s="6" t="s">
        <v>1353</v>
      </c>
      <c r="C420" s="5">
        <v>5.70054000009E11</v>
      </c>
      <c r="D420" s="6" t="s">
        <v>1356</v>
      </c>
      <c r="E420" s="6" t="s">
        <v>136</v>
      </c>
      <c r="F420" s="6" t="s">
        <v>1357</v>
      </c>
      <c r="G420" s="6" t="s">
        <v>603</v>
      </c>
      <c r="H420" s="7" t="s">
        <v>18</v>
      </c>
      <c r="I420" s="6"/>
    </row>
    <row r="421" ht="15.75" customHeight="1">
      <c r="A421" s="5">
        <v>426.0</v>
      </c>
      <c r="B421" s="6" t="s">
        <v>1358</v>
      </c>
      <c r="C421" s="5">
        <v>5.7005400001E11</v>
      </c>
      <c r="D421" s="6" t="s">
        <v>1359</v>
      </c>
      <c r="E421" s="6" t="s">
        <v>1360</v>
      </c>
      <c r="F421" s="6" t="s">
        <v>1361</v>
      </c>
      <c r="G421" s="6" t="s">
        <v>603</v>
      </c>
      <c r="H421" s="7" t="s">
        <v>18</v>
      </c>
      <c r="I421" s="6"/>
    </row>
    <row r="422" ht="15.75" customHeight="1">
      <c r="A422" s="5">
        <v>427.0</v>
      </c>
      <c r="B422" s="6" t="s">
        <v>1362</v>
      </c>
      <c r="C422" s="5">
        <v>5.70054000011E11</v>
      </c>
      <c r="D422" s="6" t="s">
        <v>1363</v>
      </c>
      <c r="E422" s="6" t="s">
        <v>170</v>
      </c>
      <c r="F422" s="6" t="s">
        <v>1364</v>
      </c>
      <c r="G422" s="6" t="s">
        <v>603</v>
      </c>
      <c r="H422" s="7" t="s">
        <v>18</v>
      </c>
      <c r="I422" s="6"/>
    </row>
    <row r="423" ht="15.75" customHeight="1">
      <c r="A423" s="5">
        <v>428.0</v>
      </c>
      <c r="B423" s="6" t="s">
        <v>358</v>
      </c>
      <c r="C423" s="5">
        <v>5.70054000012E11</v>
      </c>
      <c r="D423" s="6" t="s">
        <v>1365</v>
      </c>
      <c r="E423" s="6" t="s">
        <v>1366</v>
      </c>
      <c r="F423" s="6" t="s">
        <v>1367</v>
      </c>
      <c r="G423" s="6" t="s">
        <v>603</v>
      </c>
      <c r="H423" s="7" t="s">
        <v>18</v>
      </c>
      <c r="I423" s="6"/>
    </row>
    <row r="424" ht="15.75" customHeight="1">
      <c r="A424" s="5">
        <v>429.0</v>
      </c>
      <c r="B424" s="6" t="s">
        <v>1368</v>
      </c>
      <c r="C424" s="5">
        <v>5.70054000013E11</v>
      </c>
      <c r="D424" s="6" t="s">
        <v>1369</v>
      </c>
      <c r="E424" s="6" t="s">
        <v>1370</v>
      </c>
      <c r="F424" s="6" t="s">
        <v>1371</v>
      </c>
      <c r="G424" s="6" t="s">
        <v>603</v>
      </c>
      <c r="H424" s="7" t="s">
        <v>18</v>
      </c>
      <c r="I424" s="6"/>
    </row>
    <row r="425" ht="15.75" customHeight="1">
      <c r="A425" s="5">
        <v>430.0</v>
      </c>
      <c r="B425" s="6" t="s">
        <v>1372</v>
      </c>
      <c r="C425" s="5">
        <v>5.70054000018E11</v>
      </c>
      <c r="D425" s="6" t="s">
        <v>1373</v>
      </c>
      <c r="E425" s="6" t="s">
        <v>1374</v>
      </c>
      <c r="F425" s="6" t="s">
        <v>1375</v>
      </c>
      <c r="G425" s="6" t="s">
        <v>603</v>
      </c>
      <c r="H425" s="7" t="s">
        <v>18</v>
      </c>
      <c r="I425" s="6"/>
    </row>
    <row r="426" ht="15.75" customHeight="1">
      <c r="A426" s="5">
        <v>431.0</v>
      </c>
      <c r="B426" s="6" t="s">
        <v>160</v>
      </c>
      <c r="C426" s="5">
        <v>5.70054000019E11</v>
      </c>
      <c r="D426" s="6" t="s">
        <v>1376</v>
      </c>
      <c r="E426" s="6" t="s">
        <v>325</v>
      </c>
      <c r="F426" s="6" t="s">
        <v>1377</v>
      </c>
      <c r="G426" s="6" t="s">
        <v>603</v>
      </c>
      <c r="H426" s="7" t="s">
        <v>18</v>
      </c>
      <c r="I426" s="6"/>
    </row>
    <row r="427" ht="15.75" customHeight="1">
      <c r="A427" s="5">
        <v>432.0</v>
      </c>
      <c r="B427" s="6" t="s">
        <v>1378</v>
      </c>
      <c r="C427" s="5">
        <v>5.7005400002E11</v>
      </c>
      <c r="D427" s="6" t="s">
        <v>1379</v>
      </c>
      <c r="E427" s="6" t="s">
        <v>1380</v>
      </c>
      <c r="F427" s="6" t="s">
        <v>38</v>
      </c>
      <c r="G427" s="6" t="s">
        <v>603</v>
      </c>
      <c r="H427" s="7" t="s">
        <v>18</v>
      </c>
      <c r="I427" s="6"/>
    </row>
    <row r="428" ht="15.75" customHeight="1">
      <c r="A428" s="5">
        <v>433.0</v>
      </c>
      <c r="B428" s="6" t="s">
        <v>283</v>
      </c>
      <c r="C428" s="5">
        <v>5.70054000023E11</v>
      </c>
      <c r="D428" s="6" t="s">
        <v>1381</v>
      </c>
      <c r="E428" s="6" t="s">
        <v>338</v>
      </c>
      <c r="F428" s="6" t="s">
        <v>1382</v>
      </c>
      <c r="G428" s="6" t="s">
        <v>722</v>
      </c>
      <c r="H428" s="7" t="s">
        <v>18</v>
      </c>
      <c r="I428" s="6"/>
    </row>
    <row r="429" ht="15.75" customHeight="1">
      <c r="A429" s="5">
        <v>434.0</v>
      </c>
      <c r="B429" s="6" t="s">
        <v>1383</v>
      </c>
      <c r="C429" s="5">
        <v>5.70054000031E11</v>
      </c>
      <c r="D429" s="6" t="s">
        <v>1384</v>
      </c>
      <c r="E429" s="6" t="s">
        <v>1385</v>
      </c>
      <c r="F429" s="6" t="s">
        <v>1386</v>
      </c>
      <c r="G429" s="6" t="s">
        <v>603</v>
      </c>
      <c r="H429" s="7" t="s">
        <v>18</v>
      </c>
      <c r="I429" s="6"/>
    </row>
    <row r="430" ht="15.75" customHeight="1">
      <c r="A430" s="5">
        <v>435.0</v>
      </c>
      <c r="B430" s="6" t="s">
        <v>1387</v>
      </c>
      <c r="C430" s="5">
        <v>5.70054000037E11</v>
      </c>
      <c r="D430" s="6" t="s">
        <v>1388</v>
      </c>
      <c r="E430" s="6" t="s">
        <v>136</v>
      </c>
      <c r="F430" s="6" t="s">
        <v>1389</v>
      </c>
      <c r="G430" s="6" t="s">
        <v>603</v>
      </c>
      <c r="H430" s="7" t="s">
        <v>18</v>
      </c>
      <c r="I430" s="6"/>
    </row>
    <row r="431" ht="15.75" customHeight="1">
      <c r="A431" s="5">
        <v>436.0</v>
      </c>
      <c r="B431" s="6" t="s">
        <v>1390</v>
      </c>
      <c r="C431" s="5">
        <v>5.70054000038E11</v>
      </c>
      <c r="D431" s="6" t="s">
        <v>1391</v>
      </c>
      <c r="E431" s="6" t="s">
        <v>1392</v>
      </c>
      <c r="F431" s="6" t="s">
        <v>1393</v>
      </c>
      <c r="G431" s="6" t="s">
        <v>603</v>
      </c>
      <c r="H431" s="7" t="s">
        <v>18</v>
      </c>
      <c r="I431" s="6"/>
    </row>
    <row r="432" ht="15.75" customHeight="1">
      <c r="A432" s="5">
        <v>437.0</v>
      </c>
      <c r="B432" s="6" t="s">
        <v>1394</v>
      </c>
      <c r="C432" s="5">
        <v>5.70054000044E11</v>
      </c>
      <c r="D432" s="6" t="s">
        <v>1395</v>
      </c>
      <c r="E432" s="6" t="s">
        <v>102</v>
      </c>
      <c r="F432" s="6" t="s">
        <v>1396</v>
      </c>
      <c r="G432" s="6" t="s">
        <v>603</v>
      </c>
      <c r="H432" s="7" t="s">
        <v>18</v>
      </c>
      <c r="I432" s="6"/>
    </row>
    <row r="433" ht="15.75" customHeight="1">
      <c r="A433" s="5">
        <v>438.0</v>
      </c>
      <c r="B433" s="6" t="s">
        <v>1397</v>
      </c>
      <c r="C433" s="5">
        <v>5.70054000047E11</v>
      </c>
      <c r="D433" s="6" t="s">
        <v>1398</v>
      </c>
      <c r="E433" s="6" t="s">
        <v>1399</v>
      </c>
      <c r="F433" s="6" t="s">
        <v>1400</v>
      </c>
      <c r="G433" s="6" t="s">
        <v>603</v>
      </c>
      <c r="H433" s="7" t="s">
        <v>18</v>
      </c>
      <c r="I433" s="6"/>
    </row>
    <row r="434" ht="15.75" customHeight="1">
      <c r="A434" s="5">
        <v>439.0</v>
      </c>
      <c r="B434" s="6" t="s">
        <v>1401</v>
      </c>
      <c r="C434" s="5">
        <v>5.70054000048E11</v>
      </c>
      <c r="D434" s="6" t="s">
        <v>1181</v>
      </c>
      <c r="E434" s="6" t="s">
        <v>1402</v>
      </c>
      <c r="F434" s="6" t="s">
        <v>1403</v>
      </c>
      <c r="G434" s="6" t="s">
        <v>603</v>
      </c>
      <c r="H434" s="7" t="s">
        <v>18</v>
      </c>
      <c r="I434" s="6"/>
    </row>
    <row r="435" ht="15.75" customHeight="1">
      <c r="A435" s="5">
        <v>440.0</v>
      </c>
      <c r="B435" s="6" t="s">
        <v>294</v>
      </c>
      <c r="C435" s="5">
        <v>5.70054000049E11</v>
      </c>
      <c r="D435" s="6" t="s">
        <v>1404</v>
      </c>
      <c r="E435" s="6" t="s">
        <v>290</v>
      </c>
      <c r="F435" s="6" t="s">
        <v>1405</v>
      </c>
      <c r="G435" s="6" t="s">
        <v>603</v>
      </c>
      <c r="H435" s="7" t="s">
        <v>18</v>
      </c>
      <c r="I435" s="6"/>
    </row>
    <row r="436" ht="15.75" customHeight="1">
      <c r="A436" s="5">
        <v>441.0</v>
      </c>
      <c r="B436" s="6" t="s">
        <v>1406</v>
      </c>
      <c r="C436" s="5">
        <v>5.70054000051E11</v>
      </c>
      <c r="D436" s="6" t="s">
        <v>1407</v>
      </c>
      <c r="E436" s="6" t="s">
        <v>381</v>
      </c>
      <c r="F436" s="6" t="s">
        <v>588</v>
      </c>
      <c r="G436" s="6" t="s">
        <v>603</v>
      </c>
      <c r="H436" s="7" t="s">
        <v>18</v>
      </c>
      <c r="I436" s="6"/>
    </row>
    <row r="437" ht="15.75" customHeight="1">
      <c r="A437" s="5">
        <v>442.0</v>
      </c>
      <c r="B437" s="6" t="s">
        <v>847</v>
      </c>
      <c r="C437" s="5">
        <v>5.70054000052E11</v>
      </c>
      <c r="D437" s="6" t="s">
        <v>1408</v>
      </c>
      <c r="E437" s="6" t="s">
        <v>687</v>
      </c>
      <c r="F437" s="6" t="s">
        <v>1409</v>
      </c>
      <c r="G437" s="6" t="s">
        <v>603</v>
      </c>
      <c r="H437" s="7" t="s">
        <v>18</v>
      </c>
      <c r="I437" s="6"/>
    </row>
    <row r="438" ht="15.75" customHeight="1">
      <c r="A438" s="5">
        <v>443.0</v>
      </c>
      <c r="B438" s="6" t="s">
        <v>1410</v>
      </c>
      <c r="C438" s="5">
        <v>5.70054000054E11</v>
      </c>
      <c r="D438" s="6" t="s">
        <v>1411</v>
      </c>
      <c r="E438" s="6" t="s">
        <v>1412</v>
      </c>
      <c r="F438" s="6" t="s">
        <v>1344</v>
      </c>
      <c r="G438" s="6" t="s">
        <v>603</v>
      </c>
      <c r="H438" s="7" t="s">
        <v>18</v>
      </c>
      <c r="I438" s="6"/>
    </row>
    <row r="439" ht="15.75" customHeight="1">
      <c r="A439" s="5">
        <v>444.0</v>
      </c>
      <c r="B439" s="6" t="s">
        <v>81</v>
      </c>
      <c r="C439" s="5">
        <v>5.70054000062E11</v>
      </c>
      <c r="D439" s="6" t="s">
        <v>1413</v>
      </c>
      <c r="E439" s="6" t="s">
        <v>1414</v>
      </c>
      <c r="F439" s="6" t="s">
        <v>1415</v>
      </c>
      <c r="G439" s="6" t="s">
        <v>603</v>
      </c>
      <c r="H439" s="7" t="s">
        <v>1416</v>
      </c>
      <c r="I439" s="6"/>
    </row>
    <row r="440" ht="15.75" customHeight="1">
      <c r="A440" s="5">
        <v>445.0</v>
      </c>
      <c r="B440" s="6" t="s">
        <v>358</v>
      </c>
      <c r="C440" s="5">
        <v>5.70054000069E11</v>
      </c>
      <c r="D440" s="6" t="s">
        <v>1417</v>
      </c>
      <c r="E440" s="6" t="s">
        <v>201</v>
      </c>
      <c r="F440" s="6" t="s">
        <v>1418</v>
      </c>
      <c r="G440" s="6" t="s">
        <v>603</v>
      </c>
      <c r="H440" s="7" t="s">
        <v>18</v>
      </c>
      <c r="I440" s="6"/>
    </row>
    <row r="441" ht="15.75" customHeight="1">
      <c r="A441" s="5">
        <v>446.0</v>
      </c>
      <c r="B441" s="6" t="s">
        <v>1419</v>
      </c>
      <c r="C441" s="5">
        <v>5.70054000071E11</v>
      </c>
      <c r="D441" s="6" t="s">
        <v>1420</v>
      </c>
      <c r="E441" s="6" t="s">
        <v>1421</v>
      </c>
      <c r="F441" s="6" t="s">
        <v>1422</v>
      </c>
      <c r="G441" s="6" t="s">
        <v>603</v>
      </c>
      <c r="H441" s="7" t="s">
        <v>18</v>
      </c>
      <c r="I441" s="6"/>
    </row>
    <row r="442" ht="15.75" customHeight="1">
      <c r="A442" s="5">
        <v>447.0</v>
      </c>
      <c r="B442" s="6" t="s">
        <v>1423</v>
      </c>
      <c r="C442" s="5">
        <v>5.70054000076E11</v>
      </c>
      <c r="D442" s="6" t="s">
        <v>1424</v>
      </c>
      <c r="E442" s="6" t="s">
        <v>164</v>
      </c>
      <c r="F442" s="6" t="s">
        <v>1425</v>
      </c>
      <c r="G442" s="6" t="s">
        <v>722</v>
      </c>
      <c r="H442" s="7" t="s">
        <v>18</v>
      </c>
      <c r="I442" s="6"/>
    </row>
    <row r="443" ht="15.75" customHeight="1">
      <c r="A443" s="5">
        <v>448.0</v>
      </c>
      <c r="B443" s="6" t="s">
        <v>381</v>
      </c>
      <c r="C443" s="5">
        <v>5.70054000089E11</v>
      </c>
      <c r="D443" s="6" t="s">
        <v>744</v>
      </c>
      <c r="E443" s="6" t="s">
        <v>1426</v>
      </c>
      <c r="F443" s="6" t="s">
        <v>1427</v>
      </c>
      <c r="G443" s="6" t="s">
        <v>603</v>
      </c>
      <c r="H443" s="7" t="s">
        <v>18</v>
      </c>
      <c r="I443" s="6"/>
    </row>
    <row r="444" ht="15.75" customHeight="1">
      <c r="A444" s="5">
        <v>449.0</v>
      </c>
      <c r="B444" s="6" t="s">
        <v>170</v>
      </c>
      <c r="C444" s="5">
        <v>5.70054000091E11</v>
      </c>
      <c r="D444" s="6" t="s">
        <v>1428</v>
      </c>
      <c r="E444" s="6" t="s">
        <v>587</v>
      </c>
      <c r="F444" s="6" t="s">
        <v>1429</v>
      </c>
      <c r="G444" s="6" t="s">
        <v>603</v>
      </c>
      <c r="H444" s="7" t="s">
        <v>18</v>
      </c>
      <c r="I444" s="6"/>
    </row>
    <row r="445" ht="15.75" customHeight="1">
      <c r="A445" s="5">
        <v>450.0</v>
      </c>
      <c r="B445" s="6" t="s">
        <v>294</v>
      </c>
      <c r="C445" s="5">
        <v>5.70054000094E11</v>
      </c>
      <c r="D445" s="6" t="s">
        <v>1430</v>
      </c>
      <c r="E445" s="6" t="s">
        <v>1431</v>
      </c>
      <c r="F445" s="6" t="s">
        <v>1432</v>
      </c>
      <c r="G445" s="6" t="s">
        <v>603</v>
      </c>
      <c r="H445" s="7" t="s">
        <v>18</v>
      </c>
      <c r="I445" s="6"/>
    </row>
    <row r="446" ht="15.75" customHeight="1">
      <c r="A446" s="5">
        <v>451.0</v>
      </c>
      <c r="B446" s="6" t="s">
        <v>1433</v>
      </c>
      <c r="C446" s="5">
        <v>5.70054000095E11</v>
      </c>
      <c r="D446" s="6" t="s">
        <v>1434</v>
      </c>
      <c r="E446" s="6" t="s">
        <v>170</v>
      </c>
      <c r="F446" s="6" t="s">
        <v>1435</v>
      </c>
      <c r="G446" s="6" t="s">
        <v>603</v>
      </c>
      <c r="H446" s="7" t="s">
        <v>18</v>
      </c>
      <c r="I446" s="6"/>
    </row>
    <row r="447" ht="15.75" customHeight="1">
      <c r="A447" s="5">
        <v>452.0</v>
      </c>
      <c r="B447" s="6" t="s">
        <v>1436</v>
      </c>
      <c r="C447" s="5">
        <v>5.70054000114E11</v>
      </c>
      <c r="D447" s="6" t="s">
        <v>1230</v>
      </c>
      <c r="E447" s="6" t="s">
        <v>1437</v>
      </c>
      <c r="F447" s="6" t="s">
        <v>1438</v>
      </c>
      <c r="G447" s="6" t="s">
        <v>603</v>
      </c>
      <c r="H447" s="7" t="s">
        <v>18</v>
      </c>
      <c r="I447" s="6"/>
    </row>
    <row r="448" ht="15.75" customHeight="1">
      <c r="A448" s="5">
        <v>453.0</v>
      </c>
      <c r="B448" s="6" t="s">
        <v>1439</v>
      </c>
      <c r="C448" s="5">
        <v>5.700540001E9</v>
      </c>
      <c r="D448" s="6" t="s">
        <v>1440</v>
      </c>
      <c r="E448" s="6" t="s">
        <v>1441</v>
      </c>
      <c r="F448" s="6" t="s">
        <v>1442</v>
      </c>
      <c r="G448" s="6" t="s">
        <v>603</v>
      </c>
      <c r="H448" s="7" t="s">
        <v>18</v>
      </c>
      <c r="I448" s="6"/>
    </row>
    <row r="449" ht="15.75" customHeight="1">
      <c r="A449" s="5">
        <v>454.0</v>
      </c>
      <c r="B449" s="6" t="s">
        <v>1443</v>
      </c>
      <c r="C449" s="5">
        <v>5.7005400012E11</v>
      </c>
      <c r="D449" s="6" t="s">
        <v>1444</v>
      </c>
      <c r="E449" s="6" t="s">
        <v>59</v>
      </c>
      <c r="F449" s="6" t="s">
        <v>1445</v>
      </c>
      <c r="G449" s="6" t="s">
        <v>603</v>
      </c>
      <c r="H449" s="7" t="s">
        <v>18</v>
      </c>
      <c r="I449" s="6"/>
    </row>
    <row r="450" ht="15.75" customHeight="1">
      <c r="A450" s="5">
        <v>455.0</v>
      </c>
      <c r="B450" s="6" t="s">
        <v>1446</v>
      </c>
      <c r="C450" s="5">
        <v>5.70054000123E11</v>
      </c>
      <c r="D450" s="6" t="s">
        <v>1447</v>
      </c>
      <c r="E450" s="6" t="s">
        <v>1448</v>
      </c>
      <c r="F450" s="6" t="s">
        <v>1449</v>
      </c>
      <c r="G450" s="6" t="s">
        <v>603</v>
      </c>
      <c r="H450" s="7" t="s">
        <v>18</v>
      </c>
      <c r="I450" s="6"/>
    </row>
    <row r="451" ht="15.75" customHeight="1">
      <c r="A451" s="5">
        <v>456.0</v>
      </c>
      <c r="B451" s="6" t="s">
        <v>1450</v>
      </c>
      <c r="C451" s="5">
        <v>5.700540001E9</v>
      </c>
      <c r="D451" s="6" t="s">
        <v>1451</v>
      </c>
      <c r="E451" s="6" t="s">
        <v>1452</v>
      </c>
      <c r="F451" s="6" t="s">
        <v>1453</v>
      </c>
      <c r="G451" s="6" t="s">
        <v>603</v>
      </c>
      <c r="H451" s="7" t="s">
        <v>18</v>
      </c>
      <c r="I451" s="6"/>
    </row>
    <row r="452" ht="15.75" customHeight="1">
      <c r="A452" s="5">
        <v>457.0</v>
      </c>
      <c r="B452" s="6" t="s">
        <v>1454</v>
      </c>
      <c r="C452" s="5">
        <v>5.700540001E9</v>
      </c>
      <c r="D452" s="6" t="s">
        <v>1455</v>
      </c>
      <c r="E452" s="6" t="s">
        <v>396</v>
      </c>
      <c r="F452" s="6" t="s">
        <v>1456</v>
      </c>
      <c r="G452" s="6" t="s">
        <v>603</v>
      </c>
      <c r="H452" s="7" t="s">
        <v>18</v>
      </c>
      <c r="I452" s="6"/>
    </row>
    <row r="453" ht="15.75" customHeight="1">
      <c r="A453" s="5">
        <v>458.0</v>
      </c>
      <c r="B453" s="6" t="s">
        <v>1457</v>
      </c>
      <c r="C453" s="5">
        <v>5.70054000128E11</v>
      </c>
      <c r="D453" s="6" t="s">
        <v>419</v>
      </c>
      <c r="E453" s="6" t="s">
        <v>151</v>
      </c>
      <c r="F453" s="6" t="s">
        <v>1458</v>
      </c>
      <c r="G453" s="6" t="s">
        <v>722</v>
      </c>
      <c r="H453" s="7" t="s">
        <v>18</v>
      </c>
      <c r="I453" s="6"/>
    </row>
    <row r="454" ht="15.75" customHeight="1">
      <c r="A454" s="5">
        <v>459.0</v>
      </c>
      <c r="B454" s="6" t="s">
        <v>364</v>
      </c>
      <c r="C454" s="5">
        <v>5.70054000129E11</v>
      </c>
      <c r="D454" s="6" t="s">
        <v>1459</v>
      </c>
      <c r="E454" s="6" t="s">
        <v>1460</v>
      </c>
      <c r="F454" s="6" t="s">
        <v>1461</v>
      </c>
      <c r="G454" s="6" t="s">
        <v>603</v>
      </c>
      <c r="H454" s="7" t="s">
        <v>18</v>
      </c>
      <c r="I454" s="6"/>
    </row>
    <row r="455" ht="15.75" customHeight="1">
      <c r="A455" s="5">
        <v>460.0</v>
      </c>
      <c r="B455" s="6" t="s">
        <v>1462</v>
      </c>
      <c r="C455" s="5">
        <v>5.70054000131E11</v>
      </c>
      <c r="D455" s="6" t="s">
        <v>1463</v>
      </c>
      <c r="E455" s="6" t="s">
        <v>1464</v>
      </c>
      <c r="F455" s="6" t="s">
        <v>1465</v>
      </c>
      <c r="G455" s="6" t="s">
        <v>603</v>
      </c>
      <c r="H455" s="7" t="s">
        <v>18</v>
      </c>
      <c r="I455" s="6"/>
    </row>
    <row r="456" ht="15.75" customHeight="1">
      <c r="A456" s="5">
        <v>461.0</v>
      </c>
      <c r="B456" s="6" t="s">
        <v>1392</v>
      </c>
      <c r="C456" s="5">
        <v>5.70054000133E11</v>
      </c>
      <c r="D456" s="6" t="s">
        <v>485</v>
      </c>
      <c r="E456" s="6" t="s">
        <v>1466</v>
      </c>
      <c r="F456" s="6" t="s">
        <v>1467</v>
      </c>
      <c r="G456" s="6" t="s">
        <v>603</v>
      </c>
      <c r="H456" s="7" t="s">
        <v>18</v>
      </c>
      <c r="I456" s="6"/>
    </row>
    <row r="457" ht="15.75" customHeight="1">
      <c r="A457" s="5">
        <v>462.0</v>
      </c>
      <c r="B457" s="6" t="s">
        <v>1468</v>
      </c>
      <c r="C457" s="5">
        <v>5.70054000134E11</v>
      </c>
      <c r="D457" s="6" t="s">
        <v>1469</v>
      </c>
      <c r="E457" s="6" t="s">
        <v>131</v>
      </c>
      <c r="F457" s="6" t="s">
        <v>630</v>
      </c>
      <c r="G457" s="6" t="s">
        <v>603</v>
      </c>
      <c r="H457" s="7" t="s">
        <v>18</v>
      </c>
      <c r="I457" s="6"/>
    </row>
    <row r="458" ht="15.75" customHeight="1">
      <c r="A458" s="5">
        <v>463.0</v>
      </c>
      <c r="B458" s="6" t="s">
        <v>1470</v>
      </c>
      <c r="C458" s="5">
        <v>5.70054000136E11</v>
      </c>
      <c r="D458" s="6" t="s">
        <v>1471</v>
      </c>
      <c r="E458" s="6" t="s">
        <v>1472</v>
      </c>
      <c r="F458" s="6" t="s">
        <v>1473</v>
      </c>
      <c r="G458" s="6" t="s">
        <v>603</v>
      </c>
      <c r="H458" s="7" t="s">
        <v>18</v>
      </c>
      <c r="I458" s="6"/>
    </row>
    <row r="459" ht="15.75" customHeight="1">
      <c r="A459" s="5">
        <v>464.0</v>
      </c>
      <c r="B459" s="6" t="s">
        <v>1474</v>
      </c>
      <c r="C459" s="5">
        <v>5.70054000138E11</v>
      </c>
      <c r="D459" s="6" t="s">
        <v>1475</v>
      </c>
      <c r="E459" s="6" t="s">
        <v>1476</v>
      </c>
      <c r="F459" s="6" t="s">
        <v>203</v>
      </c>
      <c r="G459" s="6" t="s">
        <v>1477</v>
      </c>
      <c r="H459" s="7" t="s">
        <v>18</v>
      </c>
      <c r="I459" s="6"/>
    </row>
    <row r="460" ht="15.75" customHeight="1">
      <c r="A460" s="5">
        <v>465.0</v>
      </c>
      <c r="B460" s="6" t="s">
        <v>1478</v>
      </c>
      <c r="C460" s="5">
        <v>5.7005400014E11</v>
      </c>
      <c r="D460" s="6" t="s">
        <v>1479</v>
      </c>
      <c r="E460" s="6" t="s">
        <v>1480</v>
      </c>
      <c r="F460" s="6" t="s">
        <v>1481</v>
      </c>
      <c r="G460" s="6" t="s">
        <v>1477</v>
      </c>
      <c r="H460" s="7" t="s">
        <v>18</v>
      </c>
      <c r="I460" s="6"/>
    </row>
    <row r="461" ht="15.75" customHeight="1">
      <c r="A461" s="5">
        <v>466.0</v>
      </c>
      <c r="B461" s="6" t="s">
        <v>1482</v>
      </c>
      <c r="C461" s="5">
        <v>5.70054000056E11</v>
      </c>
      <c r="D461" s="6" t="s">
        <v>1483</v>
      </c>
      <c r="E461" s="6" t="s">
        <v>1484</v>
      </c>
      <c r="F461" s="6" t="s">
        <v>1485</v>
      </c>
      <c r="G461" s="6" t="s">
        <v>603</v>
      </c>
      <c r="H461" s="7" t="s">
        <v>18</v>
      </c>
      <c r="I461" s="6"/>
    </row>
    <row r="462" ht="15.75" customHeight="1">
      <c r="A462" s="5">
        <v>467.0</v>
      </c>
      <c r="B462" s="6" t="s">
        <v>1486</v>
      </c>
      <c r="C462" s="5">
        <v>5.70054000072E11</v>
      </c>
      <c r="D462" s="6" t="s">
        <v>1487</v>
      </c>
      <c r="E462" s="6" t="s">
        <v>136</v>
      </c>
      <c r="F462" s="6" t="s">
        <v>1488</v>
      </c>
      <c r="G462" s="6" t="s">
        <v>603</v>
      </c>
      <c r="H462" s="7" t="s">
        <v>18</v>
      </c>
      <c r="I462" s="6"/>
    </row>
    <row r="463" ht="15.75" customHeight="1">
      <c r="A463" s="5">
        <v>468.0</v>
      </c>
      <c r="B463" s="6" t="s">
        <v>1489</v>
      </c>
      <c r="C463" s="5">
        <v>5.70054000079E11</v>
      </c>
      <c r="D463" s="6" t="s">
        <v>1490</v>
      </c>
      <c r="E463" s="6" t="s">
        <v>1491</v>
      </c>
      <c r="F463" s="6" t="s">
        <v>1492</v>
      </c>
      <c r="G463" s="6" t="s">
        <v>603</v>
      </c>
      <c r="H463" s="7" t="s">
        <v>18</v>
      </c>
      <c r="I463" s="6"/>
    </row>
    <row r="464" ht="15.75" customHeight="1">
      <c r="A464" s="5">
        <v>469.0</v>
      </c>
      <c r="B464" s="6" t="s">
        <v>167</v>
      </c>
      <c r="C464" s="5">
        <v>5.7005400008E11</v>
      </c>
      <c r="D464" s="6" t="s">
        <v>1493</v>
      </c>
      <c r="E464" s="6" t="s">
        <v>1494</v>
      </c>
      <c r="F464" s="6" t="s">
        <v>1495</v>
      </c>
      <c r="G464" s="6" t="s">
        <v>603</v>
      </c>
      <c r="H464" s="7" t="s">
        <v>18</v>
      </c>
      <c r="I464" s="6"/>
    </row>
    <row r="465" ht="15.75" customHeight="1">
      <c r="A465" s="5">
        <v>470.0</v>
      </c>
      <c r="B465" s="6" t="s">
        <v>1496</v>
      </c>
      <c r="C465" s="5">
        <v>5.7005400009E11</v>
      </c>
      <c r="D465" s="6" t="s">
        <v>872</v>
      </c>
      <c r="E465" s="6" t="s">
        <v>338</v>
      </c>
      <c r="F465" s="6" t="s">
        <v>1497</v>
      </c>
      <c r="G465" s="6" t="s">
        <v>1477</v>
      </c>
      <c r="H465" s="7" t="s">
        <v>18</v>
      </c>
      <c r="I465" s="6"/>
    </row>
    <row r="466" ht="15.75" customHeight="1">
      <c r="A466" s="5">
        <v>471.0</v>
      </c>
      <c r="B466" s="6" t="s">
        <v>1498</v>
      </c>
      <c r="C466" s="5">
        <v>5.700540001E9</v>
      </c>
      <c r="D466" s="6" t="s">
        <v>1499</v>
      </c>
      <c r="E466" s="6" t="s">
        <v>1500</v>
      </c>
      <c r="F466" s="6" t="s">
        <v>1501</v>
      </c>
      <c r="G466" s="6" t="s">
        <v>603</v>
      </c>
      <c r="H466" s="7" t="s">
        <v>18</v>
      </c>
      <c r="I466" s="6"/>
    </row>
    <row r="467" ht="15.75" customHeight="1">
      <c r="A467" s="5">
        <v>472.0</v>
      </c>
      <c r="B467" s="6" t="s">
        <v>1496</v>
      </c>
      <c r="C467" s="5">
        <v>5.70054000112E11</v>
      </c>
      <c r="D467" s="6" t="s">
        <v>1502</v>
      </c>
      <c r="E467" s="6" t="s">
        <v>1503</v>
      </c>
      <c r="F467" s="6" t="s">
        <v>1504</v>
      </c>
      <c r="G467" s="6" t="s">
        <v>603</v>
      </c>
      <c r="H467" s="7" t="s">
        <v>18</v>
      </c>
      <c r="I467" s="6"/>
    </row>
    <row r="468" ht="15.75" customHeight="1">
      <c r="A468" s="5">
        <v>473.0</v>
      </c>
      <c r="B468" s="6" t="s">
        <v>1505</v>
      </c>
      <c r="C468" s="5">
        <v>5.70054000116E11</v>
      </c>
      <c r="D468" s="6" t="s">
        <v>1506</v>
      </c>
      <c r="E468" s="6" t="s">
        <v>1507</v>
      </c>
      <c r="F468" s="6" t="s">
        <v>1508</v>
      </c>
      <c r="G468" s="6" t="s">
        <v>722</v>
      </c>
      <c r="H468" s="7" t="s">
        <v>18</v>
      </c>
      <c r="I468" s="6"/>
    </row>
    <row r="469" ht="15.75" customHeight="1">
      <c r="A469" s="5">
        <v>474.0</v>
      </c>
      <c r="B469" s="6" t="s">
        <v>1509</v>
      </c>
      <c r="C469" s="5">
        <v>5.70054000143E11</v>
      </c>
      <c r="D469" s="6" t="s">
        <v>1510</v>
      </c>
      <c r="E469" s="6" t="s">
        <v>1511</v>
      </c>
      <c r="F469" s="6" t="s">
        <v>1512</v>
      </c>
      <c r="G469" s="6" t="s">
        <v>603</v>
      </c>
      <c r="H469" s="7" t="s">
        <v>18</v>
      </c>
      <c r="I469" s="6"/>
    </row>
    <row r="470" ht="15.75" customHeight="1">
      <c r="A470" s="5">
        <v>475.0</v>
      </c>
      <c r="B470" s="6" t="s">
        <v>1513</v>
      </c>
      <c r="C470" s="5">
        <v>5.70054000053E11</v>
      </c>
      <c r="D470" s="6" t="s">
        <v>1514</v>
      </c>
      <c r="E470" s="6" t="s">
        <v>1515</v>
      </c>
      <c r="F470" s="6" t="s">
        <v>1516</v>
      </c>
      <c r="G470" s="6" t="s">
        <v>603</v>
      </c>
      <c r="H470" s="7" t="s">
        <v>18</v>
      </c>
      <c r="I470" s="6"/>
    </row>
    <row r="471" ht="15.75" customHeight="1">
      <c r="A471" s="5">
        <v>476.0</v>
      </c>
      <c r="B471" s="6" t="s">
        <v>1517</v>
      </c>
      <c r="C471" s="5">
        <v>5.70054000055E11</v>
      </c>
      <c r="D471" s="6" t="s">
        <v>1518</v>
      </c>
      <c r="E471" s="6" t="s">
        <v>285</v>
      </c>
      <c r="F471" s="6" t="s">
        <v>1519</v>
      </c>
      <c r="G471" s="6" t="s">
        <v>603</v>
      </c>
      <c r="H471" s="7" t="s">
        <v>18</v>
      </c>
      <c r="I471" s="6"/>
    </row>
    <row r="472" ht="15.75" customHeight="1">
      <c r="A472" s="5">
        <v>477.0</v>
      </c>
      <c r="B472" s="6" t="s">
        <v>1520</v>
      </c>
      <c r="C472" s="5">
        <v>5.70054000059E11</v>
      </c>
      <c r="D472" s="6" t="s">
        <v>1521</v>
      </c>
      <c r="E472" s="6" t="s">
        <v>1345</v>
      </c>
      <c r="F472" s="6" t="s">
        <v>1522</v>
      </c>
      <c r="G472" s="6" t="s">
        <v>603</v>
      </c>
      <c r="H472" s="7" t="s">
        <v>18</v>
      </c>
      <c r="I472" s="6"/>
    </row>
    <row r="473" ht="15.75" customHeight="1">
      <c r="A473" s="5">
        <v>478.0</v>
      </c>
      <c r="B473" s="6" t="s">
        <v>1489</v>
      </c>
      <c r="C473" s="5">
        <v>5.70054000068E11</v>
      </c>
      <c r="D473" s="6" t="s">
        <v>609</v>
      </c>
      <c r="E473" s="6" t="s">
        <v>1523</v>
      </c>
      <c r="F473" s="6" t="s">
        <v>1524</v>
      </c>
      <c r="G473" s="6" t="s">
        <v>603</v>
      </c>
      <c r="H473" s="7" t="s">
        <v>18</v>
      </c>
      <c r="I473" s="6"/>
    </row>
    <row r="474" ht="15.75" customHeight="1">
      <c r="A474" s="5">
        <v>479.0</v>
      </c>
      <c r="B474" s="6" t="s">
        <v>442</v>
      </c>
      <c r="C474" s="5">
        <v>5.70054000113E11</v>
      </c>
      <c r="D474" s="6" t="s">
        <v>1525</v>
      </c>
      <c r="E474" s="6" t="s">
        <v>1526</v>
      </c>
      <c r="F474" s="6" t="s">
        <v>1527</v>
      </c>
      <c r="G474" s="6" t="s">
        <v>603</v>
      </c>
      <c r="H474" s="7" t="s">
        <v>18</v>
      </c>
      <c r="I474" s="6"/>
    </row>
    <row r="475" ht="15.75" customHeight="1">
      <c r="A475" s="5">
        <v>480.0</v>
      </c>
      <c r="B475" s="6" t="s">
        <v>1528</v>
      </c>
      <c r="C475" s="5">
        <v>5.70054000118E11</v>
      </c>
      <c r="D475" s="6" t="s">
        <v>1529</v>
      </c>
      <c r="E475" s="6" t="s">
        <v>1511</v>
      </c>
      <c r="F475" s="6" t="s">
        <v>1516</v>
      </c>
      <c r="G475" s="6" t="s">
        <v>603</v>
      </c>
      <c r="H475" s="7" t="s">
        <v>18</v>
      </c>
      <c r="I475" s="6"/>
    </row>
    <row r="476" ht="15.75" customHeight="1">
      <c r="A476" s="5">
        <v>481.0</v>
      </c>
      <c r="B476" s="6" t="s">
        <v>1100</v>
      </c>
      <c r="C476" s="5">
        <v>5.70054000122E11</v>
      </c>
      <c r="D476" s="6" t="s">
        <v>1530</v>
      </c>
      <c r="E476" s="6" t="s">
        <v>1531</v>
      </c>
      <c r="F476" s="6" t="s">
        <v>1532</v>
      </c>
      <c r="G476" s="6" t="s">
        <v>722</v>
      </c>
      <c r="H476" s="7" t="s">
        <v>18</v>
      </c>
      <c r="I476" s="6"/>
    </row>
    <row r="477" ht="15.75" customHeight="1">
      <c r="A477" s="5">
        <v>482.0</v>
      </c>
      <c r="B477" s="6" t="s">
        <v>1533</v>
      </c>
      <c r="C477" s="5">
        <v>5.70054000067E11</v>
      </c>
      <c r="D477" s="6" t="s">
        <v>1534</v>
      </c>
      <c r="E477" s="6" t="s">
        <v>1535</v>
      </c>
      <c r="F477" s="6" t="s">
        <v>1536</v>
      </c>
      <c r="G477" s="6" t="s">
        <v>603</v>
      </c>
      <c r="H477" s="7" t="s">
        <v>18</v>
      </c>
      <c r="I477" s="6"/>
    </row>
    <row r="478" ht="15.75" customHeight="1">
      <c r="A478" s="5">
        <v>483.0</v>
      </c>
      <c r="B478" s="6" t="s">
        <v>1537</v>
      </c>
      <c r="C478" s="5">
        <v>5.70054000075E11</v>
      </c>
      <c r="D478" s="6" t="s">
        <v>1538</v>
      </c>
      <c r="E478" s="6" t="s">
        <v>1539</v>
      </c>
      <c r="F478" s="6" t="s">
        <v>1540</v>
      </c>
      <c r="G478" s="6" t="s">
        <v>603</v>
      </c>
      <c r="H478" s="7" t="s">
        <v>18</v>
      </c>
      <c r="I478" s="6"/>
    </row>
    <row r="479" ht="15.75" customHeight="1">
      <c r="A479" s="5">
        <v>484.0</v>
      </c>
      <c r="B479" s="6" t="s">
        <v>1541</v>
      </c>
      <c r="C479" s="5">
        <v>5.700540000108E12</v>
      </c>
      <c r="D479" s="6" t="s">
        <v>1542</v>
      </c>
      <c r="E479" s="6" t="s">
        <v>1543</v>
      </c>
      <c r="F479" s="6" t="s">
        <v>1544</v>
      </c>
      <c r="G479" s="6" t="s">
        <v>603</v>
      </c>
      <c r="H479" s="7" t="s">
        <v>18</v>
      </c>
      <c r="I479" s="6"/>
    </row>
    <row r="480" ht="15.75" customHeight="1">
      <c r="A480" s="5">
        <v>485.0</v>
      </c>
      <c r="B480" s="6" t="s">
        <v>1545</v>
      </c>
      <c r="C480" s="5">
        <v>5.7005400011E11</v>
      </c>
      <c r="D480" s="6" t="s">
        <v>1546</v>
      </c>
      <c r="E480" s="6" t="s">
        <v>1547</v>
      </c>
      <c r="F480" s="6" t="s">
        <v>1548</v>
      </c>
      <c r="G480" s="6" t="s">
        <v>722</v>
      </c>
      <c r="H480" s="7" t="s">
        <v>18</v>
      </c>
      <c r="I480" s="6"/>
    </row>
    <row r="481" ht="15.75" customHeight="1">
      <c r="A481" s="5">
        <v>486.0</v>
      </c>
      <c r="B481" s="6" t="s">
        <v>1100</v>
      </c>
      <c r="C481" s="5">
        <v>5.70054000125E11</v>
      </c>
      <c r="D481" s="6" t="s">
        <v>1549</v>
      </c>
      <c r="E481" s="6" t="s">
        <v>1248</v>
      </c>
      <c r="F481" s="6" t="s">
        <v>1550</v>
      </c>
      <c r="G481" s="6" t="s">
        <v>722</v>
      </c>
      <c r="H481" s="7" t="s">
        <v>18</v>
      </c>
      <c r="I481" s="6"/>
    </row>
    <row r="482" ht="15.75" customHeight="1">
      <c r="A482" s="5">
        <v>487.0</v>
      </c>
      <c r="B482" s="6" t="s">
        <v>1551</v>
      </c>
      <c r="C482" s="5">
        <v>5.70054000142E11</v>
      </c>
      <c r="D482" s="6" t="s">
        <v>1552</v>
      </c>
      <c r="E482" s="6" t="s">
        <v>1123</v>
      </c>
      <c r="F482" s="6" t="s">
        <v>1553</v>
      </c>
      <c r="G482" s="6" t="s">
        <v>722</v>
      </c>
      <c r="H482" s="7" t="s">
        <v>18</v>
      </c>
      <c r="I482" s="6"/>
    </row>
    <row r="483" ht="15.75" customHeight="1">
      <c r="A483" s="5">
        <v>488.0</v>
      </c>
      <c r="B483" s="6" t="s">
        <v>1178</v>
      </c>
      <c r="C483" s="5">
        <v>5.70054000144E11</v>
      </c>
      <c r="D483" s="6" t="s">
        <v>1554</v>
      </c>
      <c r="E483" s="6" t="s">
        <v>1402</v>
      </c>
      <c r="F483" s="6" t="s">
        <v>1555</v>
      </c>
      <c r="G483" s="6" t="s">
        <v>603</v>
      </c>
      <c r="H483" s="7" t="s">
        <v>18</v>
      </c>
      <c r="I483" s="6"/>
    </row>
    <row r="484" ht="15.75" customHeight="1">
      <c r="A484" s="5">
        <v>489.0</v>
      </c>
      <c r="B484" s="6" t="s">
        <v>1556</v>
      </c>
      <c r="C484" s="5">
        <v>5.70054000146E11</v>
      </c>
      <c r="D484" s="6" t="s">
        <v>421</v>
      </c>
      <c r="E484" s="6" t="s">
        <v>237</v>
      </c>
      <c r="F484" s="6" t="s">
        <v>1557</v>
      </c>
      <c r="G484" s="6" t="s">
        <v>603</v>
      </c>
      <c r="H484" s="7" t="s">
        <v>18</v>
      </c>
      <c r="I484" s="6"/>
    </row>
    <row r="485" ht="15.75" customHeight="1">
      <c r="A485" s="5">
        <v>490.0</v>
      </c>
      <c r="B485" s="6" t="s">
        <v>1558</v>
      </c>
      <c r="C485" s="5">
        <v>5.70054000149E11</v>
      </c>
      <c r="D485" s="6" t="s">
        <v>1559</v>
      </c>
      <c r="E485" s="6" t="s">
        <v>442</v>
      </c>
      <c r="F485" s="6" t="s">
        <v>1560</v>
      </c>
      <c r="G485" s="6" t="s">
        <v>603</v>
      </c>
      <c r="H485" s="7" t="s">
        <v>18</v>
      </c>
      <c r="I485" s="6"/>
    </row>
    <row r="486" ht="15.75" customHeight="1">
      <c r="A486" s="5">
        <v>491.0</v>
      </c>
      <c r="B486" s="6" t="s">
        <v>1561</v>
      </c>
      <c r="C486" s="5">
        <v>5.70054000151E11</v>
      </c>
      <c r="D486" s="6" t="s">
        <v>1562</v>
      </c>
      <c r="E486" s="6" t="s">
        <v>122</v>
      </c>
      <c r="F486" s="6" t="s">
        <v>1563</v>
      </c>
      <c r="G486" s="6" t="s">
        <v>603</v>
      </c>
      <c r="H486" s="7" t="s">
        <v>18</v>
      </c>
      <c r="I486" s="6"/>
    </row>
    <row r="487" ht="15.75" customHeight="1">
      <c r="A487" s="5">
        <v>492.0</v>
      </c>
      <c r="B487" s="6" t="s">
        <v>201</v>
      </c>
      <c r="C487" s="5">
        <v>5.70054000155E11</v>
      </c>
      <c r="D487" s="6" t="s">
        <v>1564</v>
      </c>
      <c r="E487" s="6" t="s">
        <v>167</v>
      </c>
      <c r="F487" s="6" t="s">
        <v>1565</v>
      </c>
      <c r="G487" s="6" t="s">
        <v>572</v>
      </c>
      <c r="H487" s="7" t="s">
        <v>1566</v>
      </c>
      <c r="I487" s="6"/>
    </row>
    <row r="488" ht="15.75" customHeight="1">
      <c r="A488" s="5">
        <v>493.0</v>
      </c>
      <c r="B488" s="6" t="s">
        <v>1545</v>
      </c>
      <c r="C488" s="5">
        <v>5.70054000167E11</v>
      </c>
      <c r="D488" s="6" t="s">
        <v>1567</v>
      </c>
      <c r="E488" s="6" t="s">
        <v>1568</v>
      </c>
      <c r="F488" s="6" t="s">
        <v>1569</v>
      </c>
      <c r="G488" s="6" t="s">
        <v>603</v>
      </c>
      <c r="H488" s="7" t="s">
        <v>18</v>
      </c>
      <c r="I488" s="6"/>
    </row>
    <row r="489" ht="15.75" customHeight="1">
      <c r="A489" s="5">
        <v>494.0</v>
      </c>
      <c r="B489" s="6" t="s">
        <v>290</v>
      </c>
      <c r="C489" s="5">
        <v>5.70054000168E11</v>
      </c>
      <c r="D489" s="6" t="s">
        <v>1570</v>
      </c>
      <c r="E489" s="6" t="s">
        <v>1423</v>
      </c>
      <c r="F489" s="6" t="s">
        <v>1571</v>
      </c>
      <c r="G489" s="6" t="s">
        <v>603</v>
      </c>
      <c r="H489" s="7" t="s">
        <v>18</v>
      </c>
      <c r="I489" s="6"/>
    </row>
    <row r="490" ht="15.75" customHeight="1">
      <c r="A490" s="5">
        <v>495.0</v>
      </c>
      <c r="B490" s="6" t="s">
        <v>1572</v>
      </c>
      <c r="C490" s="5">
        <v>5.70054000171E11</v>
      </c>
      <c r="D490" s="6" t="s">
        <v>1573</v>
      </c>
      <c r="E490" s="6" t="s">
        <v>1574</v>
      </c>
      <c r="F490" s="6" t="s">
        <v>1575</v>
      </c>
      <c r="G490" s="6" t="s">
        <v>722</v>
      </c>
      <c r="H490" s="7" t="s">
        <v>18</v>
      </c>
      <c r="I490" s="6"/>
    </row>
    <row r="491" ht="15.75" customHeight="1">
      <c r="A491" s="5">
        <v>496.0</v>
      </c>
      <c r="B491" s="6" t="s">
        <v>524</v>
      </c>
      <c r="C491" s="5">
        <v>5.70054000176E11</v>
      </c>
      <c r="D491" s="6" t="s">
        <v>1576</v>
      </c>
      <c r="E491" s="6" t="s">
        <v>1577</v>
      </c>
      <c r="F491" s="6" t="s">
        <v>1578</v>
      </c>
      <c r="G491" s="6" t="s">
        <v>603</v>
      </c>
      <c r="H491" s="7" t="s">
        <v>18</v>
      </c>
      <c r="I491" s="6"/>
    </row>
    <row r="492" ht="15.75" customHeight="1">
      <c r="A492" s="5">
        <v>497.0</v>
      </c>
      <c r="B492" s="6" t="s">
        <v>1579</v>
      </c>
      <c r="C492" s="5">
        <v>5.70054000177E11</v>
      </c>
      <c r="D492" s="6" t="s">
        <v>1580</v>
      </c>
      <c r="E492" s="6" t="s">
        <v>235</v>
      </c>
      <c r="F492" s="6" t="s">
        <v>1581</v>
      </c>
      <c r="G492" s="6" t="s">
        <v>603</v>
      </c>
      <c r="H492" s="7" t="s">
        <v>18</v>
      </c>
      <c r="I492" s="6"/>
    </row>
    <row r="493" ht="15.75" customHeight="1">
      <c r="A493" s="5">
        <v>498.0</v>
      </c>
      <c r="B493" s="6" t="s">
        <v>1582</v>
      </c>
      <c r="C493" s="5">
        <v>5.70054000178E11</v>
      </c>
      <c r="D493" s="6" t="s">
        <v>152</v>
      </c>
      <c r="E493" s="6" t="s">
        <v>1583</v>
      </c>
      <c r="F493" s="6" t="s">
        <v>1584</v>
      </c>
      <c r="G493" s="6" t="s">
        <v>603</v>
      </c>
      <c r="H493" s="7" t="s">
        <v>18</v>
      </c>
      <c r="I493" s="6"/>
    </row>
    <row r="494" ht="15.75" customHeight="1">
      <c r="A494" s="5">
        <v>499.0</v>
      </c>
      <c r="B494" s="6" t="s">
        <v>1585</v>
      </c>
      <c r="C494" s="5">
        <v>5.70054000179E11</v>
      </c>
      <c r="D494" s="6" t="s">
        <v>1586</v>
      </c>
      <c r="E494" s="6" t="s">
        <v>1587</v>
      </c>
      <c r="F494" s="6" t="s">
        <v>1588</v>
      </c>
      <c r="G494" s="6" t="s">
        <v>603</v>
      </c>
      <c r="H494" s="7" t="s">
        <v>18</v>
      </c>
      <c r="I494" s="6"/>
    </row>
    <row r="495" ht="15.75" customHeight="1">
      <c r="A495" s="5">
        <v>500.0</v>
      </c>
      <c r="B495" s="6" t="s">
        <v>1589</v>
      </c>
      <c r="C495" s="5">
        <v>5.7005400018E11</v>
      </c>
      <c r="D495" s="6" t="s">
        <v>1590</v>
      </c>
      <c r="E495" s="6" t="s">
        <v>1591</v>
      </c>
      <c r="F495" s="6" t="s">
        <v>1592</v>
      </c>
      <c r="G495" s="6" t="s">
        <v>603</v>
      </c>
      <c r="H495" s="7" t="s">
        <v>18</v>
      </c>
      <c r="I495" s="6"/>
    </row>
    <row r="496" ht="15.75" customHeight="1">
      <c r="A496" s="5">
        <v>501.0</v>
      </c>
      <c r="B496" s="6" t="s">
        <v>1593</v>
      </c>
      <c r="C496" s="5">
        <v>5.70054000181E11</v>
      </c>
      <c r="D496" s="6" t="s">
        <v>1594</v>
      </c>
      <c r="E496" s="6" t="s">
        <v>1595</v>
      </c>
      <c r="F496" s="6" t="s">
        <v>1596</v>
      </c>
      <c r="G496" s="6" t="s">
        <v>722</v>
      </c>
      <c r="H496" s="7" t="s">
        <v>18</v>
      </c>
      <c r="I496" s="6"/>
    </row>
    <row r="497" ht="15.75" customHeight="1">
      <c r="A497" s="5">
        <v>502.0</v>
      </c>
      <c r="B497" s="6" t="s">
        <v>1597</v>
      </c>
      <c r="C497" s="5">
        <v>5.70054000182E11</v>
      </c>
      <c r="D497" s="6" t="s">
        <v>1598</v>
      </c>
      <c r="E497" s="6" t="s">
        <v>1599</v>
      </c>
      <c r="F497" s="6" t="s">
        <v>1600</v>
      </c>
      <c r="G497" s="6" t="s">
        <v>603</v>
      </c>
      <c r="H497" s="7" t="s">
        <v>18</v>
      </c>
      <c r="I497" s="6"/>
    </row>
    <row r="498" ht="15.75" customHeight="1">
      <c r="A498" s="5">
        <v>503.0</v>
      </c>
      <c r="B498" s="6" t="s">
        <v>1601</v>
      </c>
      <c r="C498" s="5">
        <v>5.70054000183E11</v>
      </c>
      <c r="D498" s="6" t="s">
        <v>1089</v>
      </c>
      <c r="E498" s="6" t="s">
        <v>55</v>
      </c>
      <c r="F498" s="6" t="s">
        <v>1602</v>
      </c>
      <c r="G498" s="6" t="s">
        <v>1603</v>
      </c>
      <c r="H498" s="7" t="s">
        <v>18</v>
      </c>
      <c r="I498" s="6"/>
    </row>
    <row r="499" ht="15.75" customHeight="1">
      <c r="A499" s="5">
        <v>504.0</v>
      </c>
      <c r="B499" s="6" t="s">
        <v>1604</v>
      </c>
      <c r="C499" s="5">
        <v>5.70054000184E11</v>
      </c>
      <c r="D499" s="6" t="s">
        <v>1605</v>
      </c>
      <c r="E499" s="6" t="s">
        <v>235</v>
      </c>
      <c r="F499" s="6" t="s">
        <v>1606</v>
      </c>
      <c r="G499" s="6" t="s">
        <v>722</v>
      </c>
      <c r="H499" s="7" t="s">
        <v>18</v>
      </c>
      <c r="I499" s="6"/>
    </row>
    <row r="500" ht="15.75" customHeight="1">
      <c r="A500" s="5">
        <v>505.0</v>
      </c>
      <c r="B500" s="6" t="s">
        <v>1607</v>
      </c>
      <c r="C500" s="5">
        <v>5.70054000185E11</v>
      </c>
      <c r="D500" s="6" t="s">
        <v>1608</v>
      </c>
      <c r="E500" s="6" t="s">
        <v>1100</v>
      </c>
      <c r="F500" s="6" t="s">
        <v>1609</v>
      </c>
      <c r="G500" s="6" t="s">
        <v>603</v>
      </c>
      <c r="H500" s="7" t="s">
        <v>18</v>
      </c>
      <c r="I500" s="6"/>
    </row>
    <row r="501" ht="15.75" customHeight="1">
      <c r="A501" s="5">
        <v>506.0</v>
      </c>
      <c r="B501" s="6" t="s">
        <v>1610</v>
      </c>
      <c r="C501" s="5">
        <v>5.70054000188E11</v>
      </c>
      <c r="D501" s="6" t="s">
        <v>1611</v>
      </c>
      <c r="E501" s="6" t="s">
        <v>21</v>
      </c>
      <c r="F501" s="6" t="s">
        <v>1612</v>
      </c>
      <c r="G501" s="6" t="s">
        <v>603</v>
      </c>
      <c r="H501" s="7" t="s">
        <v>18</v>
      </c>
      <c r="I501" s="6"/>
    </row>
    <row r="502" ht="15.75" customHeight="1">
      <c r="A502" s="5">
        <v>507.0</v>
      </c>
      <c r="B502" s="6" t="s">
        <v>1613</v>
      </c>
      <c r="C502" s="5">
        <v>5.70054000189E11</v>
      </c>
      <c r="D502" s="6" t="s">
        <v>1614</v>
      </c>
      <c r="E502" s="6" t="s">
        <v>70</v>
      </c>
      <c r="F502" s="6" t="s">
        <v>1615</v>
      </c>
      <c r="G502" s="6" t="s">
        <v>603</v>
      </c>
      <c r="H502" s="7" t="s">
        <v>18</v>
      </c>
      <c r="I502" s="6"/>
    </row>
    <row r="503" ht="15.75" customHeight="1">
      <c r="A503" s="5">
        <v>508.0</v>
      </c>
      <c r="B503" s="6" t="s">
        <v>1616</v>
      </c>
      <c r="C503" s="5">
        <v>5.7005400019E11</v>
      </c>
      <c r="D503" s="6" t="s">
        <v>1617</v>
      </c>
      <c r="E503" s="6" t="s">
        <v>235</v>
      </c>
      <c r="F503" s="6" t="s">
        <v>1618</v>
      </c>
      <c r="G503" s="6" t="s">
        <v>603</v>
      </c>
      <c r="H503" s="7" t="s">
        <v>18</v>
      </c>
      <c r="I503" s="6"/>
    </row>
    <row r="504" ht="15.75" customHeight="1">
      <c r="A504" s="5">
        <v>509.0</v>
      </c>
      <c r="B504" s="6" t="s">
        <v>1619</v>
      </c>
      <c r="C504" s="5">
        <v>5.70054000191E11</v>
      </c>
      <c r="D504" s="6" t="s">
        <v>1620</v>
      </c>
      <c r="E504" s="6" t="s">
        <v>982</v>
      </c>
      <c r="F504" s="6" t="s">
        <v>1501</v>
      </c>
      <c r="G504" s="6" t="s">
        <v>603</v>
      </c>
      <c r="H504" s="7" t="s">
        <v>18</v>
      </c>
      <c r="I504" s="6"/>
    </row>
    <row r="505" ht="15.75" customHeight="1">
      <c r="A505" s="5">
        <v>510.0</v>
      </c>
      <c r="B505" s="6" t="s">
        <v>428</v>
      </c>
      <c r="C505" s="5">
        <v>5.70054000192E11</v>
      </c>
      <c r="D505" s="6" t="s">
        <v>1525</v>
      </c>
      <c r="E505" s="6" t="s">
        <v>1621</v>
      </c>
      <c r="F505" s="6" t="s">
        <v>1622</v>
      </c>
      <c r="G505" s="6" t="s">
        <v>603</v>
      </c>
      <c r="H505" s="7" t="s">
        <v>18</v>
      </c>
      <c r="I505" s="6"/>
    </row>
    <row r="506" ht="15.75" customHeight="1">
      <c r="A506" s="5">
        <v>511.0</v>
      </c>
      <c r="B506" s="6" t="s">
        <v>1623</v>
      </c>
      <c r="C506" s="5">
        <v>5.70054000193E11</v>
      </c>
      <c r="D506" s="6" t="s">
        <v>1624</v>
      </c>
      <c r="E506" s="6" t="s">
        <v>159</v>
      </c>
      <c r="F506" s="6" t="s">
        <v>1625</v>
      </c>
      <c r="G506" s="6" t="s">
        <v>603</v>
      </c>
      <c r="H506" s="7" t="s">
        <v>18</v>
      </c>
      <c r="I506" s="6"/>
    </row>
    <row r="507" ht="15.75" customHeight="1">
      <c r="A507" s="5">
        <v>512.0</v>
      </c>
      <c r="B507" s="6" t="s">
        <v>1626</v>
      </c>
      <c r="C507" s="5">
        <v>5.70054000194E11</v>
      </c>
      <c r="D507" s="6" t="s">
        <v>1627</v>
      </c>
      <c r="E507" s="6" t="s">
        <v>823</v>
      </c>
      <c r="F507" s="6" t="s">
        <v>1628</v>
      </c>
      <c r="G507" s="6" t="s">
        <v>722</v>
      </c>
      <c r="H507" s="7" t="s">
        <v>18</v>
      </c>
      <c r="I507" s="6"/>
    </row>
    <row r="508" ht="15.75" customHeight="1">
      <c r="A508" s="5">
        <v>513.0</v>
      </c>
      <c r="B508" s="6" t="s">
        <v>1629</v>
      </c>
      <c r="C508" s="5">
        <v>5.70054000195E11</v>
      </c>
      <c r="D508" s="6" t="s">
        <v>1630</v>
      </c>
      <c r="E508" s="6" t="s">
        <v>1593</v>
      </c>
      <c r="F508" s="6" t="s">
        <v>1631</v>
      </c>
      <c r="G508" s="6" t="s">
        <v>722</v>
      </c>
      <c r="H508" s="7" t="s">
        <v>18</v>
      </c>
      <c r="I508" s="6"/>
    </row>
    <row r="509" ht="15.75" customHeight="1">
      <c r="A509" s="5">
        <v>514.0</v>
      </c>
      <c r="B509" s="6" t="s">
        <v>1632</v>
      </c>
      <c r="C509" s="5">
        <v>5.70054000201E11</v>
      </c>
      <c r="D509" s="6" t="s">
        <v>1633</v>
      </c>
      <c r="E509" s="6" t="s">
        <v>1634</v>
      </c>
      <c r="F509" s="6" t="s">
        <v>1635</v>
      </c>
      <c r="G509" s="6" t="s">
        <v>722</v>
      </c>
      <c r="H509" s="7" t="s">
        <v>18</v>
      </c>
      <c r="I509" s="6"/>
    </row>
    <row r="510" ht="15.75" customHeight="1">
      <c r="A510" s="5">
        <v>515.0</v>
      </c>
      <c r="B510" s="6" t="s">
        <v>8</v>
      </c>
      <c r="C510" s="5">
        <v>5.70054000202E11</v>
      </c>
      <c r="D510" s="6" t="s">
        <v>1636</v>
      </c>
      <c r="E510" s="6" t="s">
        <v>136</v>
      </c>
      <c r="F510" s="6" t="s">
        <v>1637</v>
      </c>
      <c r="G510" s="6" t="s">
        <v>603</v>
      </c>
      <c r="H510" s="7" t="s">
        <v>18</v>
      </c>
      <c r="I510" s="6"/>
    </row>
    <row r="511" ht="15.75" customHeight="1">
      <c r="A511" s="5">
        <v>516.0</v>
      </c>
      <c r="B511" s="6" t="s">
        <v>1638</v>
      </c>
      <c r="C511" s="5">
        <v>5.70054000206E11</v>
      </c>
      <c r="D511" s="6" t="s">
        <v>1639</v>
      </c>
      <c r="E511" s="6" t="s">
        <v>204</v>
      </c>
      <c r="F511" s="6" t="s">
        <v>1640</v>
      </c>
      <c r="G511" s="6" t="s">
        <v>572</v>
      </c>
      <c r="H511" s="7" t="s">
        <v>18</v>
      </c>
      <c r="I511" s="6"/>
    </row>
    <row r="512" ht="15.75" customHeight="1">
      <c r="A512" s="5">
        <v>517.0</v>
      </c>
      <c r="B512" s="6" t="s">
        <v>1641</v>
      </c>
      <c r="C512" s="5">
        <v>5.70054000208E11</v>
      </c>
      <c r="D512" s="6" t="s">
        <v>1642</v>
      </c>
      <c r="E512" s="6" t="s">
        <v>211</v>
      </c>
      <c r="F512" s="6" t="s">
        <v>1643</v>
      </c>
      <c r="G512" s="6" t="s">
        <v>603</v>
      </c>
      <c r="H512" s="7" t="s">
        <v>18</v>
      </c>
      <c r="I512" s="6"/>
    </row>
    <row r="513" ht="15.75" customHeight="1">
      <c r="A513" s="5">
        <v>518.0</v>
      </c>
      <c r="B513" s="6" t="s">
        <v>1486</v>
      </c>
      <c r="C513" s="5">
        <v>5.70054000209E11</v>
      </c>
      <c r="D513" s="6" t="s">
        <v>1644</v>
      </c>
      <c r="E513" s="6" t="s">
        <v>1178</v>
      </c>
      <c r="F513" s="6" t="s">
        <v>1645</v>
      </c>
      <c r="G513" s="6" t="s">
        <v>603</v>
      </c>
      <c r="H513" s="7" t="s">
        <v>18</v>
      </c>
      <c r="I513" s="6"/>
    </row>
    <row r="514" ht="15.75" customHeight="1">
      <c r="A514" s="5">
        <v>519.0</v>
      </c>
      <c r="B514" s="6" t="s">
        <v>1646</v>
      </c>
      <c r="C514" s="5">
        <v>5.7005400021E11</v>
      </c>
      <c r="D514" s="6" t="s">
        <v>1647</v>
      </c>
      <c r="E514" s="6" t="s">
        <v>1648</v>
      </c>
      <c r="F514" s="6" t="s">
        <v>1649</v>
      </c>
      <c r="G514" s="6" t="s">
        <v>722</v>
      </c>
      <c r="H514" s="7" t="s">
        <v>18</v>
      </c>
      <c r="I514" s="6"/>
    </row>
    <row r="515" ht="15.75" customHeight="1">
      <c r="A515" s="5">
        <v>520.0</v>
      </c>
      <c r="B515" s="6" t="s">
        <v>1650</v>
      </c>
      <c r="C515" s="5">
        <v>5.70054000212E11</v>
      </c>
      <c r="D515" s="6" t="s">
        <v>1651</v>
      </c>
      <c r="E515" s="6" t="s">
        <v>55</v>
      </c>
      <c r="F515" s="6" t="s">
        <v>1652</v>
      </c>
      <c r="G515" s="6" t="s">
        <v>603</v>
      </c>
      <c r="H515" s="7" t="s">
        <v>18</v>
      </c>
      <c r="I515" s="6"/>
    </row>
    <row r="516" ht="15.75" customHeight="1">
      <c r="A516" s="5">
        <v>521.0</v>
      </c>
      <c r="B516" s="6" t="s">
        <v>1511</v>
      </c>
      <c r="C516" s="5">
        <v>5.70054000213E11</v>
      </c>
      <c r="D516" s="6" t="s">
        <v>1653</v>
      </c>
      <c r="E516" s="6" t="s">
        <v>1543</v>
      </c>
      <c r="F516" s="6" t="s">
        <v>1654</v>
      </c>
      <c r="G516" s="6" t="s">
        <v>603</v>
      </c>
      <c r="H516" s="7" t="s">
        <v>18</v>
      </c>
      <c r="I516" s="6"/>
    </row>
    <row r="517" ht="15.75" customHeight="1">
      <c r="A517" s="5">
        <v>522.0</v>
      </c>
      <c r="B517" s="6" t="s">
        <v>1655</v>
      </c>
      <c r="C517" s="5">
        <v>5.70054000222E11</v>
      </c>
      <c r="D517" s="6" t="s">
        <v>1656</v>
      </c>
      <c r="E517" s="6" t="s">
        <v>1657</v>
      </c>
      <c r="F517" s="6" t="s">
        <v>1658</v>
      </c>
      <c r="G517" s="6" t="s">
        <v>603</v>
      </c>
      <c r="H517" s="7" t="s">
        <v>18</v>
      </c>
      <c r="I517" s="6"/>
    </row>
    <row r="518" ht="15.75" customHeight="1">
      <c r="A518" s="5">
        <v>523.0</v>
      </c>
      <c r="B518" s="6" t="s">
        <v>1659</v>
      </c>
      <c r="C518" s="5">
        <v>5.70054000223E11</v>
      </c>
      <c r="D518" s="6" t="s">
        <v>617</v>
      </c>
      <c r="E518" s="6" t="s">
        <v>1660</v>
      </c>
      <c r="F518" s="6" t="s">
        <v>1661</v>
      </c>
      <c r="G518" s="6" t="s">
        <v>603</v>
      </c>
      <c r="H518" s="7" t="s">
        <v>18</v>
      </c>
      <c r="I518" s="6"/>
    </row>
    <row r="519" ht="15.75" customHeight="1">
      <c r="A519" s="5">
        <v>524.0</v>
      </c>
      <c r="B519" s="6" t="s">
        <v>1662</v>
      </c>
      <c r="C519" s="5">
        <v>5.70054000226E11</v>
      </c>
      <c r="D519" s="6" t="s">
        <v>1663</v>
      </c>
      <c r="E519" s="6" t="s">
        <v>201</v>
      </c>
      <c r="F519" s="6" t="s">
        <v>1664</v>
      </c>
      <c r="G519" s="6" t="s">
        <v>603</v>
      </c>
      <c r="H519" s="7" t="s">
        <v>1665</v>
      </c>
      <c r="I519" s="6"/>
    </row>
    <row r="520" ht="15.75" customHeight="1">
      <c r="A520" s="5">
        <v>525.0</v>
      </c>
      <c r="B520" s="6" t="s">
        <v>1666</v>
      </c>
      <c r="C520" s="5">
        <v>5.70054000227E11</v>
      </c>
      <c r="D520" s="6" t="s">
        <v>1667</v>
      </c>
      <c r="E520" s="6" t="s">
        <v>1668</v>
      </c>
      <c r="F520" s="6" t="s">
        <v>1669</v>
      </c>
      <c r="G520" s="6" t="s">
        <v>603</v>
      </c>
      <c r="H520" s="7" t="s">
        <v>18</v>
      </c>
      <c r="I520" s="6"/>
    </row>
    <row r="521" ht="15.75" customHeight="1">
      <c r="A521" s="5">
        <v>526.0</v>
      </c>
      <c r="B521" s="6" t="s">
        <v>1670</v>
      </c>
      <c r="C521" s="5">
        <v>5.70054000228E11</v>
      </c>
      <c r="D521" s="6" t="s">
        <v>1264</v>
      </c>
      <c r="E521" s="6" t="s">
        <v>1182</v>
      </c>
      <c r="F521" s="6" t="s">
        <v>1671</v>
      </c>
      <c r="G521" s="6" t="s">
        <v>603</v>
      </c>
      <c r="H521" s="7" t="s">
        <v>18</v>
      </c>
      <c r="I521" s="6"/>
    </row>
    <row r="522" ht="15.75" customHeight="1">
      <c r="A522" s="5">
        <v>527.0</v>
      </c>
      <c r="B522" s="6" t="s">
        <v>1672</v>
      </c>
      <c r="C522" s="5">
        <v>5.7005400023E11</v>
      </c>
      <c r="D522" s="6" t="s">
        <v>1673</v>
      </c>
      <c r="E522" s="6" t="s">
        <v>1248</v>
      </c>
      <c r="F522" s="6" t="s">
        <v>1674</v>
      </c>
      <c r="G522" s="6" t="s">
        <v>603</v>
      </c>
      <c r="H522" s="7" t="s">
        <v>18</v>
      </c>
      <c r="I522" s="6"/>
    </row>
    <row r="523" ht="15.75" customHeight="1">
      <c r="A523" s="5">
        <v>528.0</v>
      </c>
      <c r="B523" s="6" t="s">
        <v>1675</v>
      </c>
      <c r="C523" s="5">
        <v>5.70054000233E11</v>
      </c>
      <c r="D523" s="6" t="s">
        <v>1676</v>
      </c>
      <c r="E523" s="6" t="s">
        <v>1677</v>
      </c>
      <c r="F523" s="6" t="s">
        <v>1678</v>
      </c>
      <c r="G523" s="6" t="s">
        <v>603</v>
      </c>
      <c r="H523" s="7" t="s">
        <v>18</v>
      </c>
      <c r="I523" s="6"/>
    </row>
    <row r="524" ht="15.75" customHeight="1">
      <c r="A524" s="5">
        <v>529.0</v>
      </c>
      <c r="B524" s="6" t="s">
        <v>1679</v>
      </c>
      <c r="C524" s="5">
        <v>5.70054000234E11</v>
      </c>
      <c r="D524" s="6" t="s">
        <v>1680</v>
      </c>
      <c r="E524" s="6" t="s">
        <v>1681</v>
      </c>
      <c r="F524" s="6" t="s">
        <v>1682</v>
      </c>
      <c r="G524" s="6" t="s">
        <v>603</v>
      </c>
      <c r="H524" s="7" t="s">
        <v>18</v>
      </c>
      <c r="I524" s="6"/>
    </row>
    <row r="525" ht="15.75" customHeight="1">
      <c r="A525" s="5">
        <v>530.0</v>
      </c>
      <c r="B525" s="6" t="s">
        <v>1683</v>
      </c>
      <c r="C525" s="5">
        <v>5.70054000239E11</v>
      </c>
      <c r="D525" s="6" t="s">
        <v>1684</v>
      </c>
      <c r="E525" s="6" t="s">
        <v>1685</v>
      </c>
      <c r="F525" s="6" t="s">
        <v>1686</v>
      </c>
      <c r="G525" s="6" t="s">
        <v>603</v>
      </c>
      <c r="H525" s="7" t="s">
        <v>18</v>
      </c>
      <c r="I525" s="6"/>
    </row>
    <row r="526" ht="15.75" customHeight="1">
      <c r="A526" s="5">
        <v>531.0</v>
      </c>
      <c r="B526" s="6" t="s">
        <v>1687</v>
      </c>
      <c r="C526" s="5">
        <v>5.7005400024E11</v>
      </c>
      <c r="D526" s="6" t="s">
        <v>1688</v>
      </c>
      <c r="E526" s="6" t="s">
        <v>1689</v>
      </c>
      <c r="F526" s="6" t="s">
        <v>1690</v>
      </c>
      <c r="G526" s="6" t="s">
        <v>603</v>
      </c>
      <c r="H526" s="7" t="s">
        <v>18</v>
      </c>
      <c r="I526" s="6"/>
    </row>
    <row r="527" ht="15.75" customHeight="1">
      <c r="A527" s="5">
        <v>532.0</v>
      </c>
      <c r="B527" s="6" t="s">
        <v>561</v>
      </c>
      <c r="C527" s="5">
        <v>5.70054000241E11</v>
      </c>
      <c r="D527" s="6" t="s">
        <v>1691</v>
      </c>
      <c r="E527" s="6" t="s">
        <v>396</v>
      </c>
      <c r="F527" s="6" t="s">
        <v>1692</v>
      </c>
      <c r="G527" s="6" t="s">
        <v>603</v>
      </c>
      <c r="H527" s="7" t="s">
        <v>18</v>
      </c>
      <c r="I527" s="6"/>
    </row>
    <row r="528" ht="15.75" customHeight="1">
      <c r="A528" s="5">
        <v>533.0</v>
      </c>
      <c r="B528" s="6" t="s">
        <v>294</v>
      </c>
      <c r="C528" s="5">
        <v>5.70054000242E11</v>
      </c>
      <c r="D528" s="6" t="s">
        <v>1693</v>
      </c>
      <c r="E528" s="6" t="s">
        <v>933</v>
      </c>
      <c r="F528" s="6" t="s">
        <v>1692</v>
      </c>
      <c r="G528" s="6" t="s">
        <v>603</v>
      </c>
      <c r="H528" s="7" t="s">
        <v>18</v>
      </c>
      <c r="I528" s="6"/>
    </row>
    <row r="529" ht="15.75" customHeight="1">
      <c r="A529" s="5">
        <v>534.0</v>
      </c>
      <c r="B529" s="6" t="s">
        <v>1694</v>
      </c>
      <c r="C529" s="5">
        <v>5.70054000244E11</v>
      </c>
      <c r="D529" s="6" t="s">
        <v>1209</v>
      </c>
      <c r="E529" s="6" t="s">
        <v>1695</v>
      </c>
      <c r="F529" s="6" t="s">
        <v>1696</v>
      </c>
      <c r="G529" s="6" t="s">
        <v>603</v>
      </c>
      <c r="H529" s="7" t="s">
        <v>18</v>
      </c>
      <c r="I529" s="6"/>
    </row>
    <row r="530" ht="15.75" customHeight="1">
      <c r="A530" s="5">
        <v>535.0</v>
      </c>
      <c r="B530" s="6" t="s">
        <v>1697</v>
      </c>
      <c r="C530" s="5">
        <v>5.70054000249E11</v>
      </c>
      <c r="D530" s="6" t="s">
        <v>1698</v>
      </c>
      <c r="E530" s="6" t="s">
        <v>1699</v>
      </c>
      <c r="F530" s="6" t="s">
        <v>1700</v>
      </c>
      <c r="G530" s="6" t="s">
        <v>722</v>
      </c>
      <c r="H530" s="7" t="s">
        <v>18</v>
      </c>
      <c r="I530" s="6"/>
    </row>
    <row r="531" ht="15.75" customHeight="1">
      <c r="A531" s="5">
        <v>536.0</v>
      </c>
      <c r="B531" s="6" t="s">
        <v>1701</v>
      </c>
      <c r="C531" s="5">
        <v>5.7005400025E11</v>
      </c>
      <c r="D531" s="6" t="s">
        <v>1702</v>
      </c>
      <c r="E531" s="6" t="s">
        <v>59</v>
      </c>
      <c r="F531" s="6" t="s">
        <v>1703</v>
      </c>
      <c r="G531" s="6" t="s">
        <v>603</v>
      </c>
      <c r="H531" s="7" t="s">
        <v>18</v>
      </c>
      <c r="I531" s="6"/>
    </row>
    <row r="532" ht="15.75" customHeight="1">
      <c r="A532" s="5">
        <v>537.0</v>
      </c>
      <c r="B532" s="6" t="s">
        <v>1704</v>
      </c>
      <c r="C532" s="5">
        <v>5.70054000252E11</v>
      </c>
      <c r="D532" s="6" t="s">
        <v>1705</v>
      </c>
      <c r="E532" s="6" t="s">
        <v>81</v>
      </c>
      <c r="F532" s="6" t="s">
        <v>1706</v>
      </c>
      <c r="G532" s="6" t="s">
        <v>603</v>
      </c>
      <c r="H532" s="7" t="s">
        <v>18</v>
      </c>
      <c r="I532" s="6"/>
    </row>
    <row r="533" ht="15.75" customHeight="1">
      <c r="A533" s="5">
        <v>538.0</v>
      </c>
      <c r="B533" s="6" t="s">
        <v>1707</v>
      </c>
      <c r="C533" s="5">
        <v>5.70054000256E11</v>
      </c>
      <c r="D533" s="6" t="s">
        <v>1209</v>
      </c>
      <c r="E533" s="6" t="s">
        <v>280</v>
      </c>
      <c r="F533" s="6" t="s">
        <v>1708</v>
      </c>
      <c r="G533" s="6" t="s">
        <v>603</v>
      </c>
      <c r="H533" s="7" t="s">
        <v>18</v>
      </c>
      <c r="I533" s="6"/>
    </row>
    <row r="534" ht="15.75" customHeight="1">
      <c r="A534" s="5">
        <v>539.0</v>
      </c>
      <c r="B534" s="6" t="s">
        <v>1672</v>
      </c>
      <c r="C534" s="5">
        <v>5.70054000257E11</v>
      </c>
      <c r="D534" s="6" t="s">
        <v>1709</v>
      </c>
      <c r="E534" s="6" t="s">
        <v>1402</v>
      </c>
      <c r="F534" s="6" t="s">
        <v>1596</v>
      </c>
      <c r="G534" s="6" t="s">
        <v>603</v>
      </c>
      <c r="H534" s="7" t="s">
        <v>18</v>
      </c>
      <c r="I534" s="6"/>
    </row>
    <row r="535" ht="15.75" customHeight="1">
      <c r="A535" s="5">
        <v>540.0</v>
      </c>
      <c r="B535" s="6" t="s">
        <v>1710</v>
      </c>
      <c r="C535" s="5">
        <v>5.70054000259E11</v>
      </c>
      <c r="D535" s="6" t="s">
        <v>1711</v>
      </c>
      <c r="E535" s="6" t="s">
        <v>1140</v>
      </c>
      <c r="F535" s="6" t="s">
        <v>1712</v>
      </c>
      <c r="G535" s="6" t="s">
        <v>722</v>
      </c>
      <c r="H535" s="7" t="s">
        <v>18</v>
      </c>
      <c r="I535" s="6"/>
    </row>
    <row r="536" ht="15.75" customHeight="1">
      <c r="A536" s="5">
        <v>541.0</v>
      </c>
      <c r="B536" s="6" t="s">
        <v>1713</v>
      </c>
      <c r="C536" s="5">
        <v>5.7005400026E11</v>
      </c>
      <c r="D536" s="6" t="s">
        <v>1714</v>
      </c>
      <c r="E536" s="6" t="s">
        <v>1392</v>
      </c>
      <c r="F536" s="6" t="s">
        <v>1715</v>
      </c>
      <c r="G536" s="6" t="s">
        <v>722</v>
      </c>
      <c r="H536" s="7" t="s">
        <v>18</v>
      </c>
      <c r="I536" s="6"/>
    </row>
    <row r="537" ht="15.75" customHeight="1">
      <c r="A537" s="5">
        <v>542.0</v>
      </c>
      <c r="B537" s="6" t="s">
        <v>705</v>
      </c>
      <c r="C537" s="5">
        <v>5.70054000262E11</v>
      </c>
      <c r="D537" s="6" t="s">
        <v>1716</v>
      </c>
      <c r="E537" s="6" t="s">
        <v>1717</v>
      </c>
      <c r="F537" s="6" t="s">
        <v>1718</v>
      </c>
      <c r="G537" s="6" t="s">
        <v>722</v>
      </c>
      <c r="H537" s="7" t="s">
        <v>18</v>
      </c>
      <c r="I537" s="6"/>
    </row>
    <row r="538" ht="15.75" customHeight="1">
      <c r="A538" s="5">
        <v>543.0</v>
      </c>
      <c r="B538" s="6" t="s">
        <v>1719</v>
      </c>
      <c r="C538" s="5">
        <v>5.70054000265E11</v>
      </c>
      <c r="D538" s="6" t="s">
        <v>1720</v>
      </c>
      <c r="E538" s="6" t="s">
        <v>1721</v>
      </c>
      <c r="F538" s="6" t="s">
        <v>1722</v>
      </c>
      <c r="G538" s="6" t="s">
        <v>722</v>
      </c>
      <c r="H538" s="7" t="s">
        <v>18</v>
      </c>
      <c r="I538" s="6"/>
    </row>
    <row r="539" ht="15.75" customHeight="1">
      <c r="A539" s="5">
        <v>544.0</v>
      </c>
      <c r="B539" s="6" t="s">
        <v>1723</v>
      </c>
      <c r="C539" s="5">
        <v>5.70054000266E11</v>
      </c>
      <c r="D539" s="6" t="s">
        <v>1724</v>
      </c>
      <c r="E539" s="6" t="s">
        <v>1725</v>
      </c>
      <c r="F539" s="6" t="s">
        <v>1726</v>
      </c>
      <c r="G539" s="6" t="s">
        <v>722</v>
      </c>
      <c r="H539" s="7" t="s">
        <v>18</v>
      </c>
      <c r="I539" s="6"/>
    </row>
    <row r="540" ht="15.75" customHeight="1">
      <c r="A540" s="5">
        <v>545.0</v>
      </c>
      <c r="B540" s="6" t="s">
        <v>1498</v>
      </c>
      <c r="C540" s="5">
        <v>5.70054000269E11</v>
      </c>
      <c r="D540" s="6" t="s">
        <v>1727</v>
      </c>
      <c r="E540" s="6" t="s">
        <v>115</v>
      </c>
      <c r="F540" s="6" t="s">
        <v>1728</v>
      </c>
      <c r="G540" s="6" t="s">
        <v>603</v>
      </c>
      <c r="H540" s="7" t="s">
        <v>18</v>
      </c>
      <c r="I540" s="6"/>
    </row>
    <row r="541" ht="15.75" customHeight="1">
      <c r="A541" s="5">
        <v>546.0</v>
      </c>
      <c r="B541" s="6" t="s">
        <v>1616</v>
      </c>
      <c r="C541" s="5">
        <v>5.70054000275E11</v>
      </c>
      <c r="D541" s="6" t="s">
        <v>1729</v>
      </c>
      <c r="E541" s="6" t="s">
        <v>1730</v>
      </c>
      <c r="F541" s="6" t="s">
        <v>1731</v>
      </c>
      <c r="G541" s="6" t="s">
        <v>603</v>
      </c>
      <c r="H541" s="7" t="s">
        <v>18</v>
      </c>
      <c r="I541" s="6"/>
    </row>
    <row r="542" ht="15.75" customHeight="1">
      <c r="A542" s="5">
        <v>547.0</v>
      </c>
      <c r="B542" s="6" t="s">
        <v>1732</v>
      </c>
      <c r="C542" s="5">
        <v>5.70054000276E11</v>
      </c>
      <c r="D542" s="6" t="s">
        <v>419</v>
      </c>
      <c r="E542" s="6" t="s">
        <v>151</v>
      </c>
      <c r="F542" s="6" t="s">
        <v>1733</v>
      </c>
      <c r="G542" s="6" t="s">
        <v>722</v>
      </c>
      <c r="H542" s="7" t="s">
        <v>18</v>
      </c>
      <c r="I542" s="6"/>
    </row>
    <row r="543" ht="15.75" customHeight="1">
      <c r="A543" s="5">
        <v>548.0</v>
      </c>
      <c r="B543" s="6" t="s">
        <v>1734</v>
      </c>
      <c r="C543" s="5">
        <v>5.70054000281E11</v>
      </c>
      <c r="D543" s="6" t="s">
        <v>1735</v>
      </c>
      <c r="E543" s="6" t="s">
        <v>1736</v>
      </c>
      <c r="F543" s="6" t="s">
        <v>1737</v>
      </c>
      <c r="G543" s="6" t="s">
        <v>603</v>
      </c>
      <c r="H543" s="7" t="s">
        <v>18</v>
      </c>
      <c r="I543" s="6"/>
    </row>
    <row r="544" ht="15.75" customHeight="1">
      <c r="A544" s="5">
        <v>549.0</v>
      </c>
      <c r="B544" s="6" t="s">
        <v>1738</v>
      </c>
      <c r="C544" s="5">
        <v>5.70054000284E11</v>
      </c>
      <c r="D544" s="6" t="s">
        <v>1739</v>
      </c>
      <c r="E544" s="6" t="s">
        <v>1740</v>
      </c>
      <c r="F544" s="6" t="s">
        <v>1741</v>
      </c>
      <c r="G544" s="6" t="s">
        <v>603</v>
      </c>
      <c r="H544" s="7" t="s">
        <v>18</v>
      </c>
      <c r="I544" s="6"/>
    </row>
    <row r="545" ht="15.75" customHeight="1">
      <c r="A545" s="5">
        <v>550.0</v>
      </c>
      <c r="B545" s="6" t="s">
        <v>1742</v>
      </c>
      <c r="C545" s="5">
        <v>5.70054000285E11</v>
      </c>
      <c r="D545" s="6" t="s">
        <v>1743</v>
      </c>
      <c r="E545" s="6" t="s">
        <v>1744</v>
      </c>
      <c r="F545" s="6" t="s">
        <v>1745</v>
      </c>
      <c r="G545" s="6" t="s">
        <v>722</v>
      </c>
      <c r="H545" s="7" t="s">
        <v>18</v>
      </c>
      <c r="I545" s="6"/>
    </row>
    <row r="546" ht="15.75" customHeight="1">
      <c r="A546" s="5">
        <v>551.0</v>
      </c>
      <c r="B546" s="6" t="s">
        <v>55</v>
      </c>
      <c r="C546" s="5">
        <v>5.70054000289E11</v>
      </c>
      <c r="D546" s="6" t="s">
        <v>1746</v>
      </c>
      <c r="E546" s="6" t="s">
        <v>1747</v>
      </c>
      <c r="F546" s="6" t="s">
        <v>1557</v>
      </c>
      <c r="G546" s="6" t="s">
        <v>603</v>
      </c>
      <c r="H546" s="7" t="s">
        <v>1748</v>
      </c>
      <c r="I546" s="6"/>
    </row>
    <row r="547" ht="15.75" customHeight="1">
      <c r="A547" s="5">
        <v>552.0</v>
      </c>
      <c r="B547" s="6" t="s">
        <v>1749</v>
      </c>
      <c r="C547" s="5">
        <v>5.7005400029E11</v>
      </c>
      <c r="D547" s="6" t="s">
        <v>1750</v>
      </c>
      <c r="E547" s="6" t="s">
        <v>823</v>
      </c>
      <c r="F547" s="6" t="s">
        <v>1751</v>
      </c>
      <c r="G547" s="6" t="s">
        <v>603</v>
      </c>
      <c r="H547" s="7" t="s">
        <v>18</v>
      </c>
      <c r="I547" s="6"/>
    </row>
    <row r="548" ht="15.75" customHeight="1">
      <c r="A548" s="5">
        <v>553.0</v>
      </c>
      <c r="B548" s="6" t="s">
        <v>1736</v>
      </c>
      <c r="C548" s="5">
        <v>5.70054000291E11</v>
      </c>
      <c r="D548" s="6" t="s">
        <v>1752</v>
      </c>
      <c r="E548" s="6" t="s">
        <v>847</v>
      </c>
      <c r="F548" s="6" t="s">
        <v>1753</v>
      </c>
      <c r="G548" s="6" t="s">
        <v>603</v>
      </c>
      <c r="H548" s="7" t="s">
        <v>1754</v>
      </c>
      <c r="I548" s="6"/>
    </row>
    <row r="549" ht="15.75" customHeight="1">
      <c r="A549" s="5">
        <v>554.0</v>
      </c>
      <c r="B549" s="6" t="s">
        <v>1486</v>
      </c>
      <c r="C549" s="5">
        <v>5.70054000294E11</v>
      </c>
      <c r="D549" s="6" t="s">
        <v>416</v>
      </c>
      <c r="E549" s="6" t="s">
        <v>1227</v>
      </c>
      <c r="F549" s="6" t="s">
        <v>1755</v>
      </c>
      <c r="G549" s="6" t="s">
        <v>603</v>
      </c>
      <c r="H549" s="7" t="s">
        <v>1756</v>
      </c>
      <c r="I549" s="6"/>
    </row>
    <row r="550" ht="15.75" customHeight="1">
      <c r="A550" s="5">
        <v>555.0</v>
      </c>
      <c r="B550" s="6" t="s">
        <v>160</v>
      </c>
      <c r="C550" s="5">
        <v>5.70054000296E11</v>
      </c>
      <c r="D550" s="6" t="s">
        <v>1757</v>
      </c>
      <c r="E550" s="6" t="s">
        <v>1758</v>
      </c>
      <c r="F550" s="6" t="s">
        <v>946</v>
      </c>
      <c r="G550" s="6" t="s">
        <v>603</v>
      </c>
      <c r="H550" s="7" t="s">
        <v>1759</v>
      </c>
      <c r="I550" s="6"/>
    </row>
    <row r="551" ht="15.75" customHeight="1">
      <c r="A551" s="5">
        <v>556.0</v>
      </c>
      <c r="B551" s="6" t="s">
        <v>1486</v>
      </c>
      <c r="C551" s="5">
        <v>5.70054000297E11</v>
      </c>
      <c r="D551" s="6" t="s">
        <v>1760</v>
      </c>
      <c r="E551" s="6" t="s">
        <v>1337</v>
      </c>
      <c r="F551" s="6" t="s">
        <v>1761</v>
      </c>
      <c r="G551" s="6" t="s">
        <v>603</v>
      </c>
      <c r="H551" s="7" t="s">
        <v>1762</v>
      </c>
      <c r="I551" s="6"/>
    </row>
    <row r="552" ht="15.75" customHeight="1">
      <c r="A552" s="5">
        <v>557.0</v>
      </c>
      <c r="B552" s="6" t="s">
        <v>477</v>
      </c>
      <c r="C552" s="5">
        <v>5.70054000301E11</v>
      </c>
      <c r="D552" s="6" t="s">
        <v>1763</v>
      </c>
      <c r="E552" s="6" t="s">
        <v>1764</v>
      </c>
      <c r="F552" s="6" t="s">
        <v>1765</v>
      </c>
      <c r="G552" s="6" t="s">
        <v>603</v>
      </c>
      <c r="H552" s="7" t="s">
        <v>18</v>
      </c>
      <c r="I552" s="6"/>
    </row>
    <row r="553" ht="15.75" customHeight="1">
      <c r="A553" s="5">
        <v>558.0</v>
      </c>
      <c r="B553" s="6" t="s">
        <v>1697</v>
      </c>
      <c r="C553" s="5">
        <v>5.70054000302E11</v>
      </c>
      <c r="D553" s="6" t="s">
        <v>1766</v>
      </c>
      <c r="E553" s="6" t="s">
        <v>1767</v>
      </c>
      <c r="F553" s="6" t="s">
        <v>1768</v>
      </c>
      <c r="G553" s="6" t="s">
        <v>603</v>
      </c>
      <c r="H553" s="7" t="s">
        <v>18</v>
      </c>
      <c r="I553" s="6"/>
    </row>
    <row r="554" ht="15.75" customHeight="1">
      <c r="A554" s="5">
        <v>559.0</v>
      </c>
      <c r="B554" s="6" t="s">
        <v>115</v>
      </c>
      <c r="C554" s="5">
        <v>5.70054000303E11</v>
      </c>
      <c r="D554" s="6" t="s">
        <v>1769</v>
      </c>
      <c r="E554" s="6" t="s">
        <v>1770</v>
      </c>
      <c r="F554" s="6" t="s">
        <v>1771</v>
      </c>
      <c r="G554" s="6" t="s">
        <v>603</v>
      </c>
      <c r="H554" s="7" t="s">
        <v>18</v>
      </c>
      <c r="I554" s="6"/>
    </row>
    <row r="555" ht="15.75" customHeight="1">
      <c r="A555" s="5">
        <v>560.0</v>
      </c>
      <c r="B555" s="6" t="s">
        <v>1772</v>
      </c>
      <c r="C555" s="5">
        <v>5.70054000305E11</v>
      </c>
      <c r="D555" s="6" t="s">
        <v>1773</v>
      </c>
      <c r="E555" s="6" t="s">
        <v>1774</v>
      </c>
      <c r="F555" s="6" t="s">
        <v>1775</v>
      </c>
      <c r="G555" s="6" t="s">
        <v>603</v>
      </c>
      <c r="H555" s="7" t="s">
        <v>1754</v>
      </c>
      <c r="I555" s="6"/>
    </row>
    <row r="556" ht="15.75" customHeight="1">
      <c r="A556" s="5">
        <v>561.0</v>
      </c>
      <c r="B556" s="6" t="s">
        <v>1776</v>
      </c>
      <c r="C556" s="5">
        <v>5.70054000307E11</v>
      </c>
      <c r="D556" s="6" t="s">
        <v>1663</v>
      </c>
      <c r="E556" s="6" t="s">
        <v>1777</v>
      </c>
      <c r="F556" s="6" t="s">
        <v>1778</v>
      </c>
      <c r="G556" s="6" t="s">
        <v>603</v>
      </c>
      <c r="H556" s="7" t="s">
        <v>1779</v>
      </c>
      <c r="I556" s="6"/>
    </row>
    <row r="557" ht="15.75" customHeight="1">
      <c r="A557" s="5">
        <v>562.0</v>
      </c>
      <c r="B557" s="6" t="s">
        <v>1780</v>
      </c>
      <c r="C557" s="5">
        <v>5.70054000317E11</v>
      </c>
      <c r="D557" s="6" t="s">
        <v>1781</v>
      </c>
      <c r="E557" s="6" t="s">
        <v>1782</v>
      </c>
      <c r="F557" s="6" t="s">
        <v>1783</v>
      </c>
      <c r="G557" s="6" t="s">
        <v>603</v>
      </c>
      <c r="H557" s="7" t="s">
        <v>18</v>
      </c>
      <c r="I557" s="6"/>
    </row>
    <row r="558" ht="15.75" customHeight="1">
      <c r="A558" s="5">
        <v>563.0</v>
      </c>
      <c r="B558" s="6" t="s">
        <v>1784</v>
      </c>
      <c r="C558" s="5">
        <v>5.70054000322E11</v>
      </c>
      <c r="D558" s="6" t="s">
        <v>1785</v>
      </c>
      <c r="E558" s="6" t="s">
        <v>1786</v>
      </c>
      <c r="F558" s="6" t="s">
        <v>1787</v>
      </c>
      <c r="G558" s="6" t="s">
        <v>722</v>
      </c>
      <c r="H558" s="7" t="s">
        <v>18</v>
      </c>
      <c r="I558" s="6"/>
    </row>
    <row r="559" ht="15.75" customHeight="1">
      <c r="A559" s="5">
        <v>564.0</v>
      </c>
      <c r="B559" s="6" t="s">
        <v>1788</v>
      </c>
      <c r="C559" s="5">
        <v>5.70054000324E11</v>
      </c>
      <c r="D559" s="6" t="s">
        <v>1789</v>
      </c>
      <c r="E559" s="6" t="s">
        <v>45</v>
      </c>
      <c r="F559" s="6" t="s">
        <v>1790</v>
      </c>
      <c r="G559" s="6" t="s">
        <v>603</v>
      </c>
      <c r="H559" s="7" t="s">
        <v>18</v>
      </c>
      <c r="I559" s="6"/>
    </row>
    <row r="560" ht="15.75" customHeight="1">
      <c r="A560" s="5">
        <v>565.0</v>
      </c>
      <c r="B560" s="6" t="s">
        <v>1791</v>
      </c>
      <c r="C560" s="5">
        <v>5.70054000327E11</v>
      </c>
      <c r="D560" s="6" t="s">
        <v>1792</v>
      </c>
      <c r="E560" s="6" t="s">
        <v>1793</v>
      </c>
      <c r="F560" s="6" t="s">
        <v>1794</v>
      </c>
      <c r="G560" s="6" t="s">
        <v>603</v>
      </c>
      <c r="H560" s="7" t="s">
        <v>18</v>
      </c>
      <c r="I560" s="6"/>
    </row>
    <row r="561" ht="15.75" customHeight="1">
      <c r="A561" s="5">
        <v>567.0</v>
      </c>
      <c r="B561" s="6" t="s">
        <v>1795</v>
      </c>
      <c r="C561" s="5">
        <v>5.7005400033E11</v>
      </c>
      <c r="D561" s="6" t="s">
        <v>1796</v>
      </c>
      <c r="E561" s="6" t="s">
        <v>1797</v>
      </c>
      <c r="F561" s="6" t="s">
        <v>1618</v>
      </c>
      <c r="G561" s="6" t="s">
        <v>603</v>
      </c>
      <c r="H561" s="7" t="s">
        <v>18</v>
      </c>
      <c r="I561" s="6"/>
    </row>
    <row r="562" ht="15.75" customHeight="1">
      <c r="A562" s="5">
        <v>568.0</v>
      </c>
      <c r="B562" s="6" t="s">
        <v>1798</v>
      </c>
      <c r="C562" s="5">
        <v>5.70054000331E11</v>
      </c>
      <c r="D562" s="6" t="s">
        <v>1799</v>
      </c>
      <c r="E562" s="6" t="s">
        <v>1800</v>
      </c>
      <c r="F562" s="6" t="s">
        <v>1715</v>
      </c>
      <c r="G562" s="6" t="s">
        <v>722</v>
      </c>
      <c r="H562" s="7" t="s">
        <v>18</v>
      </c>
      <c r="I562" s="6"/>
    </row>
    <row r="563" ht="15.75" customHeight="1">
      <c r="A563" s="5">
        <v>569.0</v>
      </c>
      <c r="B563" s="6" t="s">
        <v>1801</v>
      </c>
      <c r="C563" s="5">
        <v>5.70054000333E11</v>
      </c>
      <c r="D563" s="6" t="s">
        <v>1802</v>
      </c>
      <c r="E563" s="6" t="s">
        <v>1803</v>
      </c>
      <c r="F563" s="6" t="s">
        <v>776</v>
      </c>
      <c r="G563" s="6" t="s">
        <v>603</v>
      </c>
      <c r="H563" s="7" t="s">
        <v>1665</v>
      </c>
      <c r="I563" s="6"/>
    </row>
    <row r="564" ht="15.75" customHeight="1">
      <c r="A564" s="5">
        <v>570.0</v>
      </c>
      <c r="B564" s="6" t="s">
        <v>1613</v>
      </c>
      <c r="C564" s="5">
        <v>5.70054000334E11</v>
      </c>
      <c r="D564" s="6" t="s">
        <v>1804</v>
      </c>
      <c r="E564" s="6" t="s">
        <v>21</v>
      </c>
      <c r="F564" s="6" t="s">
        <v>1805</v>
      </c>
      <c r="G564" s="6" t="s">
        <v>603</v>
      </c>
      <c r="H564" s="7" t="s">
        <v>18</v>
      </c>
      <c r="I564" s="6"/>
    </row>
    <row r="565" ht="15.75" customHeight="1">
      <c r="A565" s="5">
        <v>571.0</v>
      </c>
      <c r="B565" s="6" t="s">
        <v>1806</v>
      </c>
      <c r="C565" s="5">
        <v>5.70054000335E11</v>
      </c>
      <c r="D565" s="6" t="s">
        <v>646</v>
      </c>
      <c r="E565" s="6" t="s">
        <v>1807</v>
      </c>
      <c r="F565" s="6" t="s">
        <v>1808</v>
      </c>
      <c r="G565" s="6" t="s">
        <v>722</v>
      </c>
      <c r="H565" s="7" t="s">
        <v>18</v>
      </c>
      <c r="I565" s="6"/>
    </row>
    <row r="566" ht="15.75" customHeight="1">
      <c r="A566" s="5">
        <v>572.0</v>
      </c>
      <c r="B566" s="6" t="s">
        <v>1593</v>
      </c>
      <c r="C566" s="5">
        <v>5.70054000336E11</v>
      </c>
      <c r="D566" s="6" t="s">
        <v>576</v>
      </c>
      <c r="E566" s="6" t="s">
        <v>170</v>
      </c>
      <c r="F566" s="6" t="s">
        <v>1809</v>
      </c>
      <c r="G566" s="6" t="s">
        <v>722</v>
      </c>
      <c r="H566" s="7" t="s">
        <v>18</v>
      </c>
      <c r="I566" s="6"/>
    </row>
    <row r="567" ht="15.75" customHeight="1">
      <c r="A567" s="5">
        <v>573.0</v>
      </c>
      <c r="B567" s="6" t="s">
        <v>1810</v>
      </c>
      <c r="C567" s="5">
        <v>5.70054000339E11</v>
      </c>
      <c r="D567" s="6" t="s">
        <v>1811</v>
      </c>
      <c r="E567" s="6" t="s">
        <v>1610</v>
      </c>
      <c r="F567" s="6" t="s">
        <v>1812</v>
      </c>
      <c r="G567" s="6" t="s">
        <v>603</v>
      </c>
      <c r="H567" s="7" t="s">
        <v>18</v>
      </c>
      <c r="I567" s="6"/>
    </row>
    <row r="568" ht="15.75" customHeight="1">
      <c r="A568" s="5">
        <v>574.0</v>
      </c>
      <c r="B568" s="6" t="s">
        <v>1813</v>
      </c>
      <c r="C568" s="5">
        <v>5.7005400034E11</v>
      </c>
      <c r="D568" s="6" t="s">
        <v>1814</v>
      </c>
      <c r="E568" s="6" t="s">
        <v>89</v>
      </c>
      <c r="F568" s="6" t="s">
        <v>1815</v>
      </c>
      <c r="G568" s="6" t="s">
        <v>603</v>
      </c>
      <c r="H568" s="7" t="s">
        <v>18</v>
      </c>
      <c r="I568" s="6"/>
    </row>
    <row r="569" ht="15.75" customHeight="1">
      <c r="A569" s="5">
        <v>575.0</v>
      </c>
      <c r="B569" s="6" t="s">
        <v>1816</v>
      </c>
      <c r="C569" s="5">
        <v>5.70054000341E11</v>
      </c>
      <c r="D569" s="6" t="s">
        <v>584</v>
      </c>
      <c r="E569" s="6" t="s">
        <v>1817</v>
      </c>
      <c r="F569" s="6" t="s">
        <v>1818</v>
      </c>
      <c r="G569" s="6" t="s">
        <v>722</v>
      </c>
      <c r="H569" s="7" t="s">
        <v>18</v>
      </c>
      <c r="I569" s="6"/>
    </row>
    <row r="570" ht="15.75" customHeight="1">
      <c r="A570" s="5">
        <v>576.0</v>
      </c>
      <c r="B570" s="6" t="s">
        <v>1819</v>
      </c>
      <c r="C570" s="5">
        <v>5.70054000342E11</v>
      </c>
      <c r="D570" s="6" t="s">
        <v>1820</v>
      </c>
      <c r="E570" s="6" t="s">
        <v>408</v>
      </c>
      <c r="F570" s="6" t="s">
        <v>1821</v>
      </c>
      <c r="G570" s="6" t="s">
        <v>603</v>
      </c>
      <c r="H570" s="7" t="s">
        <v>18</v>
      </c>
      <c r="I570" s="6"/>
    </row>
    <row r="571" ht="15.75" customHeight="1">
      <c r="A571" s="5">
        <v>577.0</v>
      </c>
      <c r="B571" s="6" t="s">
        <v>1810</v>
      </c>
      <c r="C571" s="5">
        <v>5.70054000343E11</v>
      </c>
      <c r="D571" s="6" t="s">
        <v>1822</v>
      </c>
      <c r="E571" s="6" t="s">
        <v>1823</v>
      </c>
      <c r="F571" s="6" t="s">
        <v>1824</v>
      </c>
      <c r="G571" s="6" t="s">
        <v>603</v>
      </c>
      <c r="H571" s="7" t="s">
        <v>18</v>
      </c>
      <c r="I571" s="6"/>
    </row>
    <row r="572" ht="15.75" customHeight="1">
      <c r="A572" s="5">
        <v>578.0</v>
      </c>
      <c r="B572" s="6" t="s">
        <v>1825</v>
      </c>
      <c r="C572" s="5">
        <v>5.70054000344E11</v>
      </c>
      <c r="D572" s="6" t="s">
        <v>1826</v>
      </c>
      <c r="E572" s="6" t="s">
        <v>211</v>
      </c>
      <c r="F572" s="6" t="s">
        <v>1827</v>
      </c>
      <c r="G572" s="6" t="s">
        <v>603</v>
      </c>
      <c r="H572" s="7" t="s">
        <v>18</v>
      </c>
      <c r="I572" s="6"/>
    </row>
    <row r="573" ht="15.75" customHeight="1">
      <c r="A573" s="5">
        <v>579.0</v>
      </c>
      <c r="B573" s="6" t="s">
        <v>442</v>
      </c>
      <c r="C573" s="5">
        <v>5.70054000345E11</v>
      </c>
      <c r="D573" s="6" t="s">
        <v>1828</v>
      </c>
      <c r="E573" s="6" t="s">
        <v>70</v>
      </c>
      <c r="F573" s="6" t="s">
        <v>1829</v>
      </c>
      <c r="G573" s="6" t="s">
        <v>603</v>
      </c>
      <c r="H573" s="7" t="s">
        <v>18</v>
      </c>
      <c r="I573" s="6"/>
    </row>
    <row r="574" ht="15.75" customHeight="1">
      <c r="A574" s="5">
        <v>581.0</v>
      </c>
      <c r="B574" s="6" t="s">
        <v>1830</v>
      </c>
      <c r="C574" s="5">
        <v>5.70054000348E11</v>
      </c>
      <c r="D574" s="6" t="s">
        <v>1831</v>
      </c>
      <c r="E574" s="6" t="s">
        <v>1832</v>
      </c>
      <c r="F574" s="6" t="s">
        <v>1833</v>
      </c>
      <c r="G574" s="6" t="s">
        <v>603</v>
      </c>
      <c r="H574" s="7" t="s">
        <v>18</v>
      </c>
      <c r="I574" s="6"/>
    </row>
    <row r="575" ht="15.75" customHeight="1">
      <c r="A575" s="5">
        <v>582.0</v>
      </c>
      <c r="B575" s="6" t="s">
        <v>1834</v>
      </c>
      <c r="C575" s="5">
        <v>5.70054000353E11</v>
      </c>
      <c r="D575" s="6" t="s">
        <v>1835</v>
      </c>
      <c r="E575" s="6" t="s">
        <v>1836</v>
      </c>
      <c r="F575" s="6" t="s">
        <v>1837</v>
      </c>
      <c r="G575" s="6" t="s">
        <v>722</v>
      </c>
      <c r="H575" s="7" t="s">
        <v>18</v>
      </c>
      <c r="I575" s="6"/>
    </row>
    <row r="576" ht="15.75" customHeight="1">
      <c r="A576" s="5">
        <v>583.0</v>
      </c>
      <c r="B576" s="6" t="s">
        <v>1838</v>
      </c>
      <c r="C576" s="5">
        <v>5.70054000354E11</v>
      </c>
      <c r="D576" s="6" t="s">
        <v>1839</v>
      </c>
      <c r="E576" s="6" t="s">
        <v>66</v>
      </c>
      <c r="F576" s="6" t="s">
        <v>1840</v>
      </c>
      <c r="G576" s="6" t="s">
        <v>722</v>
      </c>
      <c r="H576" s="7" t="s">
        <v>18</v>
      </c>
      <c r="I576" s="6"/>
    </row>
    <row r="577" ht="15.75" customHeight="1">
      <c r="A577" s="5">
        <v>586.0</v>
      </c>
      <c r="B577" s="6" t="s">
        <v>1841</v>
      </c>
      <c r="C577" s="5">
        <v>5.70054000364E11</v>
      </c>
      <c r="D577" s="6" t="s">
        <v>1842</v>
      </c>
      <c r="E577" s="6" t="s">
        <v>1843</v>
      </c>
      <c r="F577" s="6" t="s">
        <v>1844</v>
      </c>
      <c r="G577" s="6" t="s">
        <v>603</v>
      </c>
      <c r="H577" s="7" t="s">
        <v>18</v>
      </c>
      <c r="I577" s="6"/>
    </row>
    <row r="578" ht="15.75" customHeight="1">
      <c r="A578" s="5">
        <v>587.0</v>
      </c>
      <c r="B578" s="6" t="s">
        <v>1845</v>
      </c>
      <c r="C578" s="5">
        <v>5.70054000367E11</v>
      </c>
      <c r="D578" s="6" t="s">
        <v>1846</v>
      </c>
      <c r="E578" s="6" t="s">
        <v>1847</v>
      </c>
      <c r="F578" s="6" t="s">
        <v>1848</v>
      </c>
      <c r="G578" s="6" t="s">
        <v>603</v>
      </c>
      <c r="H578" s="7" t="s">
        <v>18</v>
      </c>
      <c r="I578" s="6"/>
    </row>
    <row r="579" ht="15.75" customHeight="1">
      <c r="A579" s="5">
        <v>588.0</v>
      </c>
      <c r="B579" s="6" t="s">
        <v>1849</v>
      </c>
      <c r="C579" s="5">
        <v>5.70054000369E11</v>
      </c>
      <c r="D579" s="6" t="s">
        <v>1811</v>
      </c>
      <c r="E579" s="6" t="s">
        <v>1850</v>
      </c>
      <c r="F579" s="6" t="s">
        <v>1851</v>
      </c>
      <c r="G579" s="6" t="s">
        <v>603</v>
      </c>
      <c r="H579" s="7" t="s">
        <v>18</v>
      </c>
      <c r="I579" s="6"/>
    </row>
    <row r="580" ht="15.75" customHeight="1">
      <c r="A580" s="5">
        <v>589.0</v>
      </c>
      <c r="B580" s="6" t="s">
        <v>151</v>
      </c>
      <c r="C580" s="5">
        <v>5.70054000373E11</v>
      </c>
      <c r="D580" s="6" t="s">
        <v>1381</v>
      </c>
      <c r="E580" s="6" t="s">
        <v>167</v>
      </c>
      <c r="F580" s="6" t="s">
        <v>1852</v>
      </c>
      <c r="G580" s="6" t="s">
        <v>603</v>
      </c>
      <c r="H580" s="7" t="s">
        <v>18</v>
      </c>
      <c r="I580" s="6"/>
    </row>
    <row r="581" ht="15.75" customHeight="1">
      <c r="A581" s="5">
        <v>590.0</v>
      </c>
      <c r="B581" s="6" t="s">
        <v>1853</v>
      </c>
      <c r="C581" s="5">
        <v>5.70054000374E11</v>
      </c>
      <c r="D581" s="6" t="s">
        <v>525</v>
      </c>
      <c r="E581" s="6" t="s">
        <v>1310</v>
      </c>
      <c r="F581" s="6" t="s">
        <v>1854</v>
      </c>
      <c r="G581" s="6" t="s">
        <v>603</v>
      </c>
      <c r="H581" s="7" t="s">
        <v>18</v>
      </c>
      <c r="I581" s="6"/>
    </row>
    <row r="582" ht="15.75" customHeight="1">
      <c r="A582" s="5">
        <v>591.0</v>
      </c>
      <c r="B582" s="6" t="s">
        <v>1509</v>
      </c>
      <c r="C582" s="5">
        <v>5.70054000376E11</v>
      </c>
      <c r="D582" s="6" t="s">
        <v>1855</v>
      </c>
      <c r="E582" s="6" t="s">
        <v>1856</v>
      </c>
      <c r="F582" s="6" t="s">
        <v>1857</v>
      </c>
      <c r="G582" s="6" t="s">
        <v>603</v>
      </c>
      <c r="H582" s="7" t="s">
        <v>18</v>
      </c>
      <c r="I582" s="6"/>
    </row>
    <row r="583" ht="15.75" customHeight="1">
      <c r="A583" s="5">
        <v>592.0</v>
      </c>
      <c r="B583" s="6" t="s">
        <v>1858</v>
      </c>
      <c r="C583" s="5">
        <v>5.70054000377E11</v>
      </c>
      <c r="D583" s="6" t="s">
        <v>1859</v>
      </c>
      <c r="E583" s="6" t="s">
        <v>111</v>
      </c>
      <c r="F583" s="6" t="s">
        <v>1860</v>
      </c>
      <c r="G583" s="6" t="s">
        <v>722</v>
      </c>
      <c r="H583" s="7" t="s">
        <v>18</v>
      </c>
      <c r="I583" s="6"/>
    </row>
    <row r="584" ht="15.75" customHeight="1">
      <c r="A584" s="5">
        <v>593.0</v>
      </c>
      <c r="B584" s="6" t="s">
        <v>1861</v>
      </c>
      <c r="C584" s="5">
        <v>5.70054000379E11</v>
      </c>
      <c r="D584" s="6" t="s">
        <v>1862</v>
      </c>
      <c r="E584" s="6" t="s">
        <v>115</v>
      </c>
      <c r="F584" s="6" t="s">
        <v>1863</v>
      </c>
      <c r="G584" s="6" t="s">
        <v>603</v>
      </c>
      <c r="H584" s="7" t="s">
        <v>18</v>
      </c>
      <c r="I584" s="6"/>
    </row>
    <row r="585" ht="15.75" customHeight="1">
      <c r="A585" s="5">
        <v>594.0</v>
      </c>
      <c r="B585" s="6" t="s">
        <v>1864</v>
      </c>
      <c r="C585" s="5">
        <v>5.7005400038E11</v>
      </c>
      <c r="D585" s="6" t="s">
        <v>1865</v>
      </c>
      <c r="E585" s="6" t="s">
        <v>869</v>
      </c>
      <c r="F585" s="6" t="s">
        <v>1866</v>
      </c>
      <c r="G585" s="6" t="s">
        <v>722</v>
      </c>
      <c r="H585" s="7" t="s">
        <v>18</v>
      </c>
      <c r="I585" s="6"/>
    </row>
    <row r="586" ht="15.75" customHeight="1">
      <c r="A586" s="5">
        <v>595.0</v>
      </c>
      <c r="B586" s="6" t="s">
        <v>1227</v>
      </c>
      <c r="C586" s="5">
        <v>5.70054000381E11</v>
      </c>
      <c r="D586" s="6" t="s">
        <v>1867</v>
      </c>
      <c r="E586" s="6" t="s">
        <v>47</v>
      </c>
      <c r="F586" s="6" t="s">
        <v>1868</v>
      </c>
      <c r="G586" s="6" t="s">
        <v>603</v>
      </c>
      <c r="H586" s="7" t="s">
        <v>18</v>
      </c>
      <c r="I586" s="6"/>
    </row>
    <row r="587" ht="15.75" customHeight="1">
      <c r="A587" s="5">
        <v>596.0</v>
      </c>
      <c r="B587" s="6" t="s">
        <v>1869</v>
      </c>
      <c r="C587" s="5">
        <v>5.70054000384E11</v>
      </c>
      <c r="D587" s="6" t="s">
        <v>1089</v>
      </c>
      <c r="E587" s="6" t="s">
        <v>55</v>
      </c>
      <c r="F587" s="6" t="s">
        <v>1870</v>
      </c>
      <c r="G587" s="6" t="s">
        <v>603</v>
      </c>
      <c r="H587" s="7" t="s">
        <v>18</v>
      </c>
      <c r="I587" s="6"/>
    </row>
    <row r="588" ht="15.75" customHeight="1">
      <c r="A588" s="5">
        <v>597.0</v>
      </c>
      <c r="B588" s="6" t="s">
        <v>1871</v>
      </c>
      <c r="C588" s="5">
        <v>5.70054000386E11</v>
      </c>
      <c r="D588" s="6" t="s">
        <v>1872</v>
      </c>
      <c r="E588" s="6" t="s">
        <v>1873</v>
      </c>
      <c r="F588" s="6" t="s">
        <v>1874</v>
      </c>
      <c r="G588" s="6" t="s">
        <v>722</v>
      </c>
      <c r="H588" s="7" t="s">
        <v>18</v>
      </c>
      <c r="I588" s="6"/>
    </row>
    <row r="589" ht="15.75" customHeight="1">
      <c r="A589" s="5">
        <v>598.0</v>
      </c>
      <c r="B589" s="6" t="s">
        <v>1875</v>
      </c>
      <c r="C589" s="5">
        <v>5.7005400039E11</v>
      </c>
      <c r="D589" s="6" t="s">
        <v>1876</v>
      </c>
      <c r="E589" s="6" t="s">
        <v>1877</v>
      </c>
      <c r="F589" s="6" t="s">
        <v>1878</v>
      </c>
      <c r="G589" s="6" t="s">
        <v>722</v>
      </c>
      <c r="H589" s="7" t="s">
        <v>18</v>
      </c>
      <c r="I589" s="6"/>
    </row>
    <row r="590" ht="15.75" customHeight="1">
      <c r="A590" s="5">
        <v>599.0</v>
      </c>
      <c r="B590" s="6" t="s">
        <v>1879</v>
      </c>
      <c r="C590" s="5">
        <v>5.70054000392E11</v>
      </c>
      <c r="D590" s="6" t="s">
        <v>1880</v>
      </c>
      <c r="E590" s="6" t="s">
        <v>159</v>
      </c>
      <c r="F590" s="6" t="s">
        <v>1881</v>
      </c>
      <c r="G590" s="6" t="s">
        <v>603</v>
      </c>
      <c r="H590" s="7" t="s">
        <v>18</v>
      </c>
      <c r="I590" s="6"/>
    </row>
    <row r="591" ht="15.75" customHeight="1">
      <c r="A591" s="5">
        <v>600.0</v>
      </c>
      <c r="B591" s="6" t="s">
        <v>1772</v>
      </c>
      <c r="C591" s="5">
        <v>5.70054000393E11</v>
      </c>
      <c r="D591" s="6" t="s">
        <v>1882</v>
      </c>
      <c r="E591" s="6" t="s">
        <v>1883</v>
      </c>
      <c r="F591" s="6" t="s">
        <v>1884</v>
      </c>
      <c r="G591" s="6" t="s">
        <v>603</v>
      </c>
      <c r="H591" s="7" t="s">
        <v>18</v>
      </c>
      <c r="I591" s="6"/>
    </row>
    <row r="592" ht="15.75" customHeight="1">
      <c r="A592" s="5">
        <v>601.0</v>
      </c>
      <c r="B592" s="6" t="s">
        <v>1885</v>
      </c>
      <c r="C592" s="5">
        <v>5.70054000394E11</v>
      </c>
      <c r="D592" s="6" t="s">
        <v>1886</v>
      </c>
      <c r="E592" s="6" t="s">
        <v>1887</v>
      </c>
      <c r="F592" s="6" t="s">
        <v>1888</v>
      </c>
      <c r="G592" s="6" t="s">
        <v>722</v>
      </c>
      <c r="H592" s="7" t="s">
        <v>18</v>
      </c>
      <c r="I592" s="6"/>
    </row>
    <row r="593" ht="15.75" customHeight="1">
      <c r="A593" s="5">
        <v>602.0</v>
      </c>
      <c r="B593" s="6" t="s">
        <v>1889</v>
      </c>
      <c r="C593" s="5">
        <v>5.70054000396E11</v>
      </c>
      <c r="D593" s="6" t="s">
        <v>1890</v>
      </c>
      <c r="E593" s="6" t="s">
        <v>1433</v>
      </c>
      <c r="F593" s="6" t="s">
        <v>1891</v>
      </c>
      <c r="G593" s="6" t="s">
        <v>603</v>
      </c>
      <c r="H593" s="7" t="s">
        <v>18</v>
      </c>
      <c r="I593" s="6"/>
    </row>
    <row r="594" ht="15.75" customHeight="1">
      <c r="A594" s="5">
        <v>603.0</v>
      </c>
      <c r="B594" s="6" t="s">
        <v>1496</v>
      </c>
      <c r="C594" s="5">
        <v>5.70054000397E11</v>
      </c>
      <c r="D594" s="6" t="s">
        <v>1892</v>
      </c>
      <c r="E594" s="6" t="s">
        <v>1893</v>
      </c>
      <c r="F594" s="6" t="s">
        <v>1894</v>
      </c>
      <c r="G594" s="6" t="s">
        <v>603</v>
      </c>
      <c r="H594" s="7" t="s">
        <v>18</v>
      </c>
      <c r="I594" s="6"/>
    </row>
    <row r="595" ht="15.75" customHeight="1">
      <c r="A595" s="5">
        <v>604.0</v>
      </c>
      <c r="B595" s="6" t="s">
        <v>1227</v>
      </c>
      <c r="C595" s="5">
        <v>5.70054000398E11</v>
      </c>
      <c r="D595" s="6" t="s">
        <v>1895</v>
      </c>
      <c r="E595" s="6" t="s">
        <v>1896</v>
      </c>
      <c r="F595" s="6" t="s">
        <v>1897</v>
      </c>
      <c r="G595" s="6" t="s">
        <v>603</v>
      </c>
      <c r="H595" s="7" t="s">
        <v>18</v>
      </c>
      <c r="I595" s="6"/>
    </row>
    <row r="596" ht="15.75" customHeight="1">
      <c r="A596" s="5">
        <v>605.0</v>
      </c>
      <c r="B596" s="6" t="s">
        <v>1898</v>
      </c>
      <c r="C596" s="5">
        <v>5.70054000399E11</v>
      </c>
      <c r="D596" s="6" t="s">
        <v>1899</v>
      </c>
      <c r="E596" s="6" t="s">
        <v>1900</v>
      </c>
      <c r="F596" s="6" t="s">
        <v>1901</v>
      </c>
      <c r="G596" s="6" t="s">
        <v>603</v>
      </c>
      <c r="H596" s="7" t="s">
        <v>18</v>
      </c>
      <c r="I596" s="6"/>
    </row>
    <row r="597" ht="15.75" customHeight="1">
      <c r="A597" s="5">
        <v>606.0</v>
      </c>
      <c r="B597" s="6" t="s">
        <v>1902</v>
      </c>
      <c r="C597" s="5">
        <v>5.7005400004E11</v>
      </c>
      <c r="D597" s="6" t="s">
        <v>1605</v>
      </c>
      <c r="E597" s="6" t="s">
        <v>1903</v>
      </c>
      <c r="F597" s="6" t="s">
        <v>1904</v>
      </c>
      <c r="G597" s="6" t="s">
        <v>722</v>
      </c>
      <c r="H597" s="7" t="s">
        <v>18</v>
      </c>
      <c r="I597" s="6"/>
    </row>
    <row r="598" ht="15.75" customHeight="1">
      <c r="A598" s="5">
        <v>607.0</v>
      </c>
      <c r="B598" s="6" t="s">
        <v>1489</v>
      </c>
      <c r="C598" s="5">
        <v>5.70054000401E11</v>
      </c>
      <c r="D598" s="6" t="s">
        <v>1905</v>
      </c>
      <c r="E598" s="6" t="s">
        <v>1906</v>
      </c>
      <c r="F598" s="6" t="s">
        <v>1907</v>
      </c>
      <c r="G598" s="6" t="s">
        <v>603</v>
      </c>
      <c r="H598" s="7" t="s">
        <v>18</v>
      </c>
      <c r="I598" s="6"/>
    </row>
    <row r="599" ht="15.75" customHeight="1">
      <c r="A599" s="5">
        <v>608.0</v>
      </c>
      <c r="B599" s="6" t="s">
        <v>1908</v>
      </c>
      <c r="C599" s="5">
        <v>5.70054000402E11</v>
      </c>
      <c r="D599" s="6" t="s">
        <v>1909</v>
      </c>
      <c r="E599" s="6" t="s">
        <v>1910</v>
      </c>
      <c r="F599" s="6" t="s">
        <v>1911</v>
      </c>
      <c r="G599" s="6" t="s">
        <v>722</v>
      </c>
      <c r="H599" s="7" t="s">
        <v>18</v>
      </c>
      <c r="I599" s="6"/>
    </row>
    <row r="600" ht="15.75" customHeight="1">
      <c r="A600" s="5">
        <v>609.0</v>
      </c>
      <c r="B600" s="6" t="s">
        <v>1912</v>
      </c>
      <c r="C600" s="5">
        <v>5.70054000407E11</v>
      </c>
      <c r="D600" s="6" t="s">
        <v>1913</v>
      </c>
      <c r="E600" s="6" t="s">
        <v>1914</v>
      </c>
      <c r="F600" s="6" t="s">
        <v>1915</v>
      </c>
      <c r="G600" s="6" t="s">
        <v>722</v>
      </c>
      <c r="H600" s="7" t="s">
        <v>18</v>
      </c>
      <c r="I600" s="6"/>
    </row>
    <row r="601" ht="15.75" customHeight="1">
      <c r="A601" s="5">
        <v>610.0</v>
      </c>
      <c r="B601" s="6" t="s">
        <v>1916</v>
      </c>
      <c r="C601" s="5">
        <v>5.70054000409E11</v>
      </c>
      <c r="D601" s="6" t="s">
        <v>1917</v>
      </c>
      <c r="E601" s="6" t="s">
        <v>1918</v>
      </c>
      <c r="F601" s="6" t="s">
        <v>1919</v>
      </c>
      <c r="G601" s="6" t="s">
        <v>603</v>
      </c>
      <c r="H601" s="7" t="s">
        <v>18</v>
      </c>
      <c r="I601" s="6"/>
    </row>
    <row r="602" ht="15.75" customHeight="1">
      <c r="A602" s="5">
        <v>611.0</v>
      </c>
      <c r="B602" s="6" t="s">
        <v>1920</v>
      </c>
      <c r="C602" s="5">
        <v>5.7005400041E11</v>
      </c>
      <c r="D602" s="6" t="s">
        <v>1921</v>
      </c>
      <c r="E602" s="6" t="s">
        <v>1922</v>
      </c>
      <c r="F602" s="6" t="s">
        <v>1923</v>
      </c>
      <c r="G602" s="6" t="s">
        <v>603</v>
      </c>
      <c r="H602" s="7" t="s">
        <v>18</v>
      </c>
      <c r="I602" s="6"/>
    </row>
    <row r="603" ht="15.75" customHeight="1">
      <c r="A603" s="5">
        <v>612.0</v>
      </c>
      <c r="B603" s="6" t="s">
        <v>1885</v>
      </c>
      <c r="C603" s="5">
        <v>5.70054000411E11</v>
      </c>
      <c r="D603" s="6" t="s">
        <v>1924</v>
      </c>
      <c r="E603" s="6" t="s">
        <v>1925</v>
      </c>
      <c r="F603" s="6" t="s">
        <v>1926</v>
      </c>
      <c r="G603" s="6" t="s">
        <v>722</v>
      </c>
      <c r="H603" s="7" t="s">
        <v>18</v>
      </c>
      <c r="I603" s="6"/>
    </row>
    <row r="604" ht="15.75" customHeight="1">
      <c r="A604" s="5">
        <v>613.0</v>
      </c>
      <c r="B604" s="6" t="s">
        <v>1749</v>
      </c>
      <c r="C604" s="5">
        <v>5.70054375501E11</v>
      </c>
      <c r="D604" s="6" t="s">
        <v>1927</v>
      </c>
      <c r="E604" s="6" t="s">
        <v>408</v>
      </c>
      <c r="F604" s="6" t="s">
        <v>1928</v>
      </c>
      <c r="G604" s="6" t="s">
        <v>603</v>
      </c>
      <c r="H604" s="7" t="s">
        <v>18</v>
      </c>
      <c r="I604" s="6"/>
    </row>
    <row r="605" ht="15.75" customHeight="1">
      <c r="A605" s="5">
        <v>614.0</v>
      </c>
      <c r="B605" s="6" t="s">
        <v>1929</v>
      </c>
      <c r="C605" s="5">
        <v>5.70054375503E11</v>
      </c>
      <c r="D605" s="6" t="s">
        <v>1930</v>
      </c>
      <c r="E605" s="6" t="s">
        <v>1931</v>
      </c>
      <c r="F605" s="6" t="s">
        <v>1932</v>
      </c>
      <c r="G605" s="6" t="s">
        <v>603</v>
      </c>
      <c r="H605" s="7" t="s">
        <v>18</v>
      </c>
      <c r="I605" s="6"/>
    </row>
    <row r="606" ht="15.75" customHeight="1">
      <c r="A606" s="5">
        <v>615.0</v>
      </c>
      <c r="B606" s="6" t="s">
        <v>1933</v>
      </c>
      <c r="C606" s="5">
        <v>5.70054375504E11</v>
      </c>
      <c r="D606" s="6" t="s">
        <v>1934</v>
      </c>
      <c r="E606" s="6" t="s">
        <v>204</v>
      </c>
      <c r="F606" s="6" t="s">
        <v>1935</v>
      </c>
      <c r="G606" s="6" t="s">
        <v>603</v>
      </c>
      <c r="H606" s="7" t="s">
        <v>18</v>
      </c>
      <c r="I606" s="6"/>
    </row>
    <row r="607" ht="15.75" customHeight="1">
      <c r="A607" s="5">
        <v>616.0</v>
      </c>
      <c r="B607" s="6" t="s">
        <v>1936</v>
      </c>
      <c r="C607" s="5">
        <v>5.70054375505E11</v>
      </c>
      <c r="D607" s="6" t="s">
        <v>1937</v>
      </c>
      <c r="E607" s="6" t="s">
        <v>1836</v>
      </c>
      <c r="F607" s="6" t="s">
        <v>1938</v>
      </c>
      <c r="G607" s="6" t="s">
        <v>722</v>
      </c>
      <c r="H607" s="7" t="s">
        <v>18</v>
      </c>
      <c r="I607" s="6"/>
    </row>
    <row r="608" ht="15.75" customHeight="1">
      <c r="A608" s="5">
        <v>617.0</v>
      </c>
      <c r="B608" s="6" t="s">
        <v>1140</v>
      </c>
      <c r="C608" s="5">
        <v>5.70054375506E11</v>
      </c>
      <c r="D608" s="6" t="s">
        <v>1939</v>
      </c>
      <c r="E608" s="6" t="s">
        <v>207</v>
      </c>
      <c r="F608" s="6" t="s">
        <v>1940</v>
      </c>
      <c r="G608" s="6" t="s">
        <v>603</v>
      </c>
      <c r="H608" s="7" t="s">
        <v>1941</v>
      </c>
      <c r="I608" s="6"/>
    </row>
    <row r="609" ht="15.75" customHeight="1">
      <c r="A609" s="5">
        <v>618.0</v>
      </c>
      <c r="B609" s="6" t="s">
        <v>1942</v>
      </c>
      <c r="C609" s="5">
        <v>5.70054375512E11</v>
      </c>
      <c r="D609" s="6" t="s">
        <v>1943</v>
      </c>
      <c r="E609" s="6" t="s">
        <v>1944</v>
      </c>
      <c r="F609" s="6" t="s">
        <v>1945</v>
      </c>
      <c r="G609" s="6" t="s">
        <v>603</v>
      </c>
      <c r="H609" s="7" t="s">
        <v>18</v>
      </c>
      <c r="I609" s="6"/>
    </row>
    <row r="610" ht="15.75" customHeight="1">
      <c r="A610" s="5">
        <v>619.0</v>
      </c>
      <c r="B610" s="6" t="s">
        <v>1946</v>
      </c>
      <c r="C610" s="5">
        <v>5.70054375513E11</v>
      </c>
      <c r="D610" s="6" t="s">
        <v>1947</v>
      </c>
      <c r="E610" s="6" t="s">
        <v>1948</v>
      </c>
      <c r="F610" s="6" t="s">
        <v>1949</v>
      </c>
      <c r="G610" s="6" t="s">
        <v>722</v>
      </c>
      <c r="H610" s="7" t="s">
        <v>18</v>
      </c>
      <c r="I610" s="6"/>
    </row>
    <row r="611" ht="15.75" customHeight="1">
      <c r="A611" s="5">
        <v>620.0</v>
      </c>
      <c r="B611" s="6" t="s">
        <v>506</v>
      </c>
      <c r="C611" s="5">
        <v>5.70054000004E11</v>
      </c>
      <c r="D611" s="6" t="s">
        <v>1950</v>
      </c>
      <c r="E611" s="6" t="s">
        <v>1951</v>
      </c>
      <c r="F611" s="6" t="s">
        <v>1952</v>
      </c>
      <c r="G611" s="6" t="s">
        <v>603</v>
      </c>
      <c r="H611" s="7" t="s">
        <v>18</v>
      </c>
      <c r="I611" s="6"/>
    </row>
    <row r="612" ht="15.75" customHeight="1">
      <c r="A612" s="5">
        <v>621.0</v>
      </c>
      <c r="B612" s="6" t="s">
        <v>1953</v>
      </c>
      <c r="C612" s="5">
        <v>5.70054000418E11</v>
      </c>
      <c r="D612" s="6" t="s">
        <v>1293</v>
      </c>
      <c r="E612" s="6" t="s">
        <v>239</v>
      </c>
      <c r="F612" s="6" t="s">
        <v>1954</v>
      </c>
      <c r="G612" s="6" t="s">
        <v>603</v>
      </c>
      <c r="H612" s="7" t="s">
        <v>18</v>
      </c>
      <c r="I612" s="6"/>
    </row>
    <row r="613" ht="15.75" customHeight="1">
      <c r="A613" s="5">
        <v>622.0</v>
      </c>
      <c r="B613" s="6" t="s">
        <v>1955</v>
      </c>
      <c r="C613" s="5">
        <v>5.70054000419E11</v>
      </c>
      <c r="D613" s="6" t="s">
        <v>1956</v>
      </c>
      <c r="E613" s="6" t="s">
        <v>1957</v>
      </c>
      <c r="F613" s="6" t="s">
        <v>1958</v>
      </c>
      <c r="G613" s="6" t="s">
        <v>722</v>
      </c>
      <c r="H613" s="7" t="s">
        <v>1959</v>
      </c>
      <c r="I613" s="6"/>
    </row>
    <row r="614" ht="15.75" customHeight="1">
      <c r="A614" s="5">
        <v>623.0</v>
      </c>
      <c r="B614" s="6" t="s">
        <v>1960</v>
      </c>
      <c r="C614" s="5">
        <v>5.7005400042E11</v>
      </c>
      <c r="D614" s="6" t="s">
        <v>1961</v>
      </c>
      <c r="E614" s="6" t="s">
        <v>1610</v>
      </c>
      <c r="F614" s="6" t="s">
        <v>1962</v>
      </c>
      <c r="G614" s="6" t="s">
        <v>722</v>
      </c>
      <c r="H614" s="7" t="s">
        <v>1963</v>
      </c>
      <c r="I614" s="6"/>
    </row>
    <row r="615" ht="15.75" customHeight="1">
      <c r="A615" s="5">
        <v>624.0</v>
      </c>
      <c r="B615" s="6" t="s">
        <v>1964</v>
      </c>
      <c r="C615" s="5">
        <v>5.70054000422E11</v>
      </c>
      <c r="D615" s="6" t="s">
        <v>1792</v>
      </c>
      <c r="E615" s="6" t="s">
        <v>400</v>
      </c>
      <c r="F615" s="6" t="s">
        <v>1965</v>
      </c>
      <c r="G615" s="6" t="s">
        <v>722</v>
      </c>
      <c r="H615" s="7" t="s">
        <v>1966</v>
      </c>
      <c r="I615" s="6"/>
    </row>
    <row r="616" ht="15.75" customHeight="1">
      <c r="A616" s="5">
        <v>625.0</v>
      </c>
      <c r="B616" s="6" t="s">
        <v>1607</v>
      </c>
      <c r="C616" s="5">
        <v>5.70054000423E11</v>
      </c>
      <c r="D616" s="6" t="s">
        <v>1967</v>
      </c>
      <c r="E616" s="6" t="s">
        <v>1968</v>
      </c>
      <c r="F616" s="6" t="s">
        <v>1969</v>
      </c>
      <c r="G616" s="6" t="s">
        <v>722</v>
      </c>
      <c r="H616" s="7" t="s">
        <v>1970</v>
      </c>
      <c r="I616" s="6"/>
    </row>
    <row r="617" ht="15.75" customHeight="1">
      <c r="A617" s="5">
        <v>626.0</v>
      </c>
      <c r="B617" s="6" t="s">
        <v>1861</v>
      </c>
      <c r="C617" s="5">
        <v>5.7005400043E11</v>
      </c>
      <c r="D617" s="6" t="s">
        <v>1502</v>
      </c>
      <c r="E617" s="6" t="s">
        <v>1196</v>
      </c>
      <c r="F617" s="6" t="s">
        <v>1971</v>
      </c>
      <c r="G617" s="6" t="s">
        <v>722</v>
      </c>
      <c r="H617" s="7" t="s">
        <v>1972</v>
      </c>
      <c r="I617" s="6"/>
    </row>
    <row r="618" ht="15.75" customHeight="1">
      <c r="A618" s="5">
        <v>627.0</v>
      </c>
      <c r="B618" s="6" t="s">
        <v>1813</v>
      </c>
      <c r="C618" s="5">
        <v>5.70054000434E11</v>
      </c>
      <c r="D618" s="6" t="s">
        <v>1502</v>
      </c>
      <c r="E618" s="6" t="s">
        <v>358</v>
      </c>
      <c r="F618" s="6" t="s">
        <v>1973</v>
      </c>
      <c r="G618" s="6" t="s">
        <v>722</v>
      </c>
      <c r="H618" s="7" t="s">
        <v>1974</v>
      </c>
      <c r="I618" s="6"/>
    </row>
    <row r="619" ht="15.75" customHeight="1">
      <c r="A619" s="5">
        <v>628.0</v>
      </c>
      <c r="B619" s="6" t="s">
        <v>1916</v>
      </c>
      <c r="C619" s="5">
        <v>5.70054000439E11</v>
      </c>
      <c r="D619" s="6" t="s">
        <v>1975</v>
      </c>
      <c r="E619" s="6" t="s">
        <v>1976</v>
      </c>
      <c r="F619" s="6" t="s">
        <v>1977</v>
      </c>
      <c r="G619" s="6" t="s">
        <v>722</v>
      </c>
      <c r="H619" s="7" t="s">
        <v>18</v>
      </c>
      <c r="I619" s="6"/>
    </row>
    <row r="620" ht="15.75" customHeight="1">
      <c r="A620" s="5">
        <v>629.0</v>
      </c>
      <c r="B620" s="6" t="s">
        <v>1978</v>
      </c>
      <c r="C620" s="5">
        <v>5.70054000441E11</v>
      </c>
      <c r="D620" s="6" t="s">
        <v>1979</v>
      </c>
      <c r="E620" s="6" t="s">
        <v>442</v>
      </c>
      <c r="F620" s="6" t="s">
        <v>1980</v>
      </c>
      <c r="G620" s="6" t="s">
        <v>722</v>
      </c>
      <c r="H620" s="7" t="s">
        <v>1981</v>
      </c>
      <c r="I620" s="6"/>
    </row>
    <row r="621" ht="15.75" customHeight="1">
      <c r="A621" s="5">
        <v>630.0</v>
      </c>
      <c r="B621" s="6" t="s">
        <v>1982</v>
      </c>
      <c r="C621" s="5">
        <v>5.70054000445E11</v>
      </c>
      <c r="D621" s="6" t="s">
        <v>1983</v>
      </c>
      <c r="E621" s="6" t="s">
        <v>1984</v>
      </c>
      <c r="F621" s="6" t="s">
        <v>1985</v>
      </c>
      <c r="G621" s="6" t="s">
        <v>722</v>
      </c>
      <c r="H621" s="7" t="s">
        <v>1986</v>
      </c>
      <c r="I621" s="6"/>
    </row>
    <row r="622" ht="15.75" customHeight="1">
      <c r="A622" s="5">
        <v>631.0</v>
      </c>
      <c r="B622" s="6" t="s">
        <v>1987</v>
      </c>
      <c r="C622" s="5">
        <v>5.70054000446E11</v>
      </c>
      <c r="D622" s="6" t="s">
        <v>1988</v>
      </c>
      <c r="E622" s="6" t="s">
        <v>418</v>
      </c>
      <c r="F622" s="6" t="s">
        <v>1989</v>
      </c>
      <c r="G622" s="6" t="s">
        <v>722</v>
      </c>
      <c r="H622" s="7" t="s">
        <v>1990</v>
      </c>
      <c r="I622" s="6"/>
    </row>
    <row r="623" ht="15.75" customHeight="1">
      <c r="A623" s="5">
        <v>632.0</v>
      </c>
      <c r="B623" s="6" t="s">
        <v>1991</v>
      </c>
      <c r="C623" s="5">
        <v>5.70054375525E11</v>
      </c>
      <c r="D623" s="6" t="s">
        <v>1992</v>
      </c>
      <c r="E623" s="6" t="s">
        <v>1474</v>
      </c>
      <c r="F623" s="6" t="s">
        <v>1993</v>
      </c>
      <c r="G623" s="6" t="s">
        <v>603</v>
      </c>
      <c r="H623" s="7" t="s">
        <v>18</v>
      </c>
      <c r="I623" s="6"/>
    </row>
    <row r="624" ht="15.75" customHeight="1">
      <c r="A624" s="5">
        <v>633.0</v>
      </c>
      <c r="B624" s="6" t="s">
        <v>1994</v>
      </c>
      <c r="C624" s="5">
        <v>5.70054375531E11</v>
      </c>
      <c r="D624" s="6" t="s">
        <v>1995</v>
      </c>
      <c r="E624" s="6" t="s">
        <v>1906</v>
      </c>
      <c r="F624" s="6" t="s">
        <v>1996</v>
      </c>
      <c r="G624" s="6" t="s">
        <v>603</v>
      </c>
      <c r="H624" s="7" t="s">
        <v>18</v>
      </c>
      <c r="I624" s="6"/>
    </row>
    <row r="625" ht="15.75" customHeight="1">
      <c r="A625" s="5">
        <v>634.0</v>
      </c>
      <c r="B625" s="6" t="s">
        <v>1997</v>
      </c>
      <c r="C625" s="5">
        <v>5.7005437554E11</v>
      </c>
      <c r="D625" s="6" t="s">
        <v>1998</v>
      </c>
      <c r="E625" s="6" t="s">
        <v>364</v>
      </c>
      <c r="F625" s="6" t="s">
        <v>1999</v>
      </c>
      <c r="G625" s="6" t="s">
        <v>603</v>
      </c>
      <c r="H625" s="7" t="s">
        <v>2000</v>
      </c>
      <c r="I625" s="6"/>
    </row>
    <row r="626" ht="15.75" customHeight="1">
      <c r="A626" s="5">
        <v>635.0</v>
      </c>
      <c r="B626" s="6" t="s">
        <v>1655</v>
      </c>
      <c r="C626" s="5">
        <v>5.70054375543E11</v>
      </c>
      <c r="D626" s="6" t="s">
        <v>1223</v>
      </c>
      <c r="E626" s="6" t="s">
        <v>45</v>
      </c>
      <c r="F626" s="6" t="s">
        <v>2001</v>
      </c>
      <c r="G626" s="6" t="s">
        <v>722</v>
      </c>
      <c r="H626" s="7" t="s">
        <v>2002</v>
      </c>
      <c r="I626" s="6"/>
    </row>
    <row r="627" ht="15.75" customHeight="1">
      <c r="A627" s="5">
        <v>636.0</v>
      </c>
      <c r="B627" s="6" t="s">
        <v>1593</v>
      </c>
      <c r="C627" s="5">
        <v>5.70054375544E11</v>
      </c>
      <c r="D627" s="6" t="s">
        <v>2003</v>
      </c>
      <c r="E627" s="6" t="s">
        <v>1906</v>
      </c>
      <c r="F627" s="6" t="s">
        <v>2004</v>
      </c>
      <c r="G627" s="6" t="s">
        <v>603</v>
      </c>
      <c r="H627" s="7" t="s">
        <v>2005</v>
      </c>
      <c r="I627" s="6"/>
    </row>
    <row r="628" ht="15.75" customHeight="1">
      <c r="A628" s="5">
        <v>637.0</v>
      </c>
      <c r="B628" s="6" t="s">
        <v>1736</v>
      </c>
      <c r="C628" s="5">
        <v>5.70054375545E11</v>
      </c>
      <c r="D628" s="6" t="s">
        <v>2006</v>
      </c>
      <c r="E628" s="6" t="s">
        <v>2007</v>
      </c>
      <c r="F628" s="6" t="s">
        <v>2008</v>
      </c>
      <c r="G628" s="6" t="s">
        <v>603</v>
      </c>
      <c r="H628" s="7" t="s">
        <v>18</v>
      </c>
      <c r="I628" s="6"/>
    </row>
    <row r="629" ht="15.75" customHeight="1">
      <c r="A629" s="5">
        <v>638.0</v>
      </c>
      <c r="B629" s="6" t="s">
        <v>2009</v>
      </c>
      <c r="C629" s="5">
        <v>5.70054375546E11</v>
      </c>
      <c r="D629" s="6" t="s">
        <v>2010</v>
      </c>
      <c r="E629" s="6" t="s">
        <v>1599</v>
      </c>
      <c r="F629" s="6" t="s">
        <v>2011</v>
      </c>
      <c r="G629" s="6" t="s">
        <v>603</v>
      </c>
      <c r="H629" s="7" t="s">
        <v>2012</v>
      </c>
      <c r="I629" s="6"/>
    </row>
    <row r="630" ht="15.75" customHeight="1">
      <c r="A630" s="5">
        <v>639.0</v>
      </c>
      <c r="B630" s="6" t="s">
        <v>2013</v>
      </c>
      <c r="C630" s="5">
        <v>5.7005437555E11</v>
      </c>
      <c r="D630" s="6" t="s">
        <v>2014</v>
      </c>
      <c r="E630" s="6" t="s">
        <v>564</v>
      </c>
      <c r="F630" s="6" t="s">
        <v>2015</v>
      </c>
      <c r="G630" s="6" t="s">
        <v>603</v>
      </c>
      <c r="H630" s="7" t="s">
        <v>2012</v>
      </c>
      <c r="I630" s="6"/>
    </row>
    <row r="631" ht="15.75" customHeight="1">
      <c r="A631" s="5">
        <v>640.0</v>
      </c>
      <c r="B631" s="6" t="s">
        <v>2016</v>
      </c>
      <c r="C631" s="5">
        <v>5.70054375552E11</v>
      </c>
      <c r="D631" s="6" t="s">
        <v>2017</v>
      </c>
      <c r="E631" s="6" t="s">
        <v>1914</v>
      </c>
      <c r="F631" s="6" t="s">
        <v>2018</v>
      </c>
      <c r="G631" s="6" t="s">
        <v>603</v>
      </c>
      <c r="H631" s="7" t="s">
        <v>18</v>
      </c>
      <c r="I631" s="6"/>
    </row>
    <row r="632" ht="15.75" customHeight="1">
      <c r="A632" s="5">
        <v>641.0</v>
      </c>
      <c r="B632" s="6" t="s">
        <v>2019</v>
      </c>
      <c r="C632" s="5">
        <v>5.70054375556E11</v>
      </c>
      <c r="D632" s="6" t="s">
        <v>2020</v>
      </c>
      <c r="E632" s="6" t="s">
        <v>2021</v>
      </c>
      <c r="F632" s="6" t="s">
        <v>2022</v>
      </c>
      <c r="G632" s="6" t="s">
        <v>603</v>
      </c>
      <c r="H632" s="7" t="s">
        <v>18</v>
      </c>
      <c r="I632" s="6"/>
    </row>
    <row r="633" ht="15.75" customHeight="1">
      <c r="A633" s="5">
        <v>642.0</v>
      </c>
      <c r="B633" s="6" t="s">
        <v>2023</v>
      </c>
      <c r="C633" s="5">
        <v>5.700540000414E12</v>
      </c>
      <c r="D633" s="6" t="s">
        <v>1673</v>
      </c>
      <c r="E633" s="6" t="s">
        <v>294</v>
      </c>
      <c r="F633" s="6" t="s">
        <v>2024</v>
      </c>
      <c r="G633" s="6" t="s">
        <v>722</v>
      </c>
      <c r="H633" s="7" t="s">
        <v>18</v>
      </c>
      <c r="I633" s="6"/>
    </row>
    <row r="634" ht="15.75" customHeight="1">
      <c r="A634" s="5">
        <v>643.0</v>
      </c>
      <c r="B634" s="6" t="s">
        <v>167</v>
      </c>
      <c r="C634" s="5">
        <v>5.700540000428E12</v>
      </c>
      <c r="D634" s="6" t="s">
        <v>2025</v>
      </c>
      <c r="E634" s="6" t="s">
        <v>428</v>
      </c>
      <c r="F634" s="6" t="s">
        <v>2026</v>
      </c>
      <c r="G634" s="6" t="s">
        <v>603</v>
      </c>
      <c r="H634" s="7" t="s">
        <v>18</v>
      </c>
      <c r="I634" s="6"/>
    </row>
    <row r="635" ht="15.75" customHeight="1">
      <c r="A635" s="5">
        <v>644.0</v>
      </c>
      <c r="B635" s="6" t="s">
        <v>2027</v>
      </c>
      <c r="C635" s="5">
        <v>5.70054375561E11</v>
      </c>
      <c r="D635" s="6" t="s">
        <v>2028</v>
      </c>
      <c r="E635" s="6" t="s">
        <v>2029</v>
      </c>
      <c r="F635" s="6" t="s">
        <v>2030</v>
      </c>
      <c r="G635" s="6" t="s">
        <v>603</v>
      </c>
      <c r="H635" s="7" t="s">
        <v>18</v>
      </c>
      <c r="I635" s="6"/>
    </row>
    <row r="636" ht="15.75" customHeight="1">
      <c r="A636" s="5">
        <v>645.0</v>
      </c>
      <c r="B636" s="6" t="s">
        <v>2031</v>
      </c>
      <c r="C636" s="5">
        <v>5.70054375532E11</v>
      </c>
      <c r="D636" s="6" t="s">
        <v>2032</v>
      </c>
      <c r="E636" s="6" t="s">
        <v>115</v>
      </c>
      <c r="F636" s="6" t="s">
        <v>2033</v>
      </c>
      <c r="G636" s="6" t="s">
        <v>603</v>
      </c>
      <c r="H636" s="7" t="s">
        <v>18</v>
      </c>
      <c r="I636" s="6"/>
    </row>
    <row r="637" ht="15.75" customHeight="1">
      <c r="A637" s="5">
        <v>646.0</v>
      </c>
      <c r="B637" s="6" t="s">
        <v>77</v>
      </c>
      <c r="C637" s="5">
        <v>5.70054375533E11</v>
      </c>
      <c r="D637" s="6" t="s">
        <v>2034</v>
      </c>
      <c r="E637" s="6" t="s">
        <v>2035</v>
      </c>
      <c r="F637" s="6" t="s">
        <v>2036</v>
      </c>
      <c r="G637" s="6" t="s">
        <v>603</v>
      </c>
      <c r="H637" s="7" t="s">
        <v>18</v>
      </c>
      <c r="I637" s="6"/>
    </row>
    <row r="638" ht="15.75" customHeight="1">
      <c r="A638" s="5">
        <v>647.0</v>
      </c>
      <c r="B638" s="6" t="s">
        <v>1498</v>
      </c>
      <c r="C638" s="5">
        <v>5.700540000426E12</v>
      </c>
      <c r="D638" s="6" t="s">
        <v>1967</v>
      </c>
      <c r="E638" s="6" t="s">
        <v>2037</v>
      </c>
      <c r="F638" s="6" t="s">
        <v>2038</v>
      </c>
      <c r="G638" s="6" t="s">
        <v>603</v>
      </c>
      <c r="H638" s="7" t="s">
        <v>18</v>
      </c>
      <c r="I638" s="6"/>
    </row>
    <row r="639" ht="15.75" customHeight="1">
      <c r="A639" s="5">
        <v>648.0</v>
      </c>
      <c r="B639" s="6" t="s">
        <v>2039</v>
      </c>
      <c r="C639" s="5">
        <v>5.700540000427E12</v>
      </c>
      <c r="D639" s="6" t="s">
        <v>2040</v>
      </c>
      <c r="E639" s="6" t="s">
        <v>2041</v>
      </c>
      <c r="F639" s="6" t="s">
        <v>2042</v>
      </c>
      <c r="G639" s="6" t="s">
        <v>722</v>
      </c>
      <c r="H639" s="7" t="s">
        <v>18</v>
      </c>
      <c r="I639" s="6"/>
    </row>
    <row r="640" ht="15.75" customHeight="1">
      <c r="A640" s="5">
        <v>649.0</v>
      </c>
      <c r="B640" s="6" t="s">
        <v>167</v>
      </c>
      <c r="C640" s="5">
        <v>5.700540000429E12</v>
      </c>
      <c r="D640" s="6" t="s">
        <v>2043</v>
      </c>
      <c r="E640" s="6" t="s">
        <v>423</v>
      </c>
      <c r="F640" s="6" t="s">
        <v>2044</v>
      </c>
      <c r="G640" s="6" t="s">
        <v>603</v>
      </c>
      <c r="H640" s="7" t="s">
        <v>18</v>
      </c>
      <c r="I640" s="6"/>
    </row>
    <row r="641" ht="15.75" customHeight="1">
      <c r="A641" s="5">
        <v>650.0</v>
      </c>
      <c r="B641" s="6" t="s">
        <v>2045</v>
      </c>
      <c r="C641" s="5">
        <v>5.700540000435E12</v>
      </c>
      <c r="D641" s="6" t="s">
        <v>2046</v>
      </c>
      <c r="E641" s="6" t="s">
        <v>1496</v>
      </c>
      <c r="F641" s="6" t="s">
        <v>1954</v>
      </c>
      <c r="G641" s="6" t="s">
        <v>603</v>
      </c>
      <c r="H641" s="7" t="s">
        <v>2047</v>
      </c>
      <c r="I641" s="6"/>
    </row>
    <row r="642" ht="15.75" customHeight="1">
      <c r="A642" s="5">
        <v>651.0</v>
      </c>
      <c r="B642" s="6" t="s">
        <v>2048</v>
      </c>
      <c r="C642" s="5">
        <v>5.7005437557E11</v>
      </c>
      <c r="D642" s="6" t="s">
        <v>2049</v>
      </c>
      <c r="E642" s="6" t="s">
        <v>2050</v>
      </c>
      <c r="F642" s="6" t="s">
        <v>2051</v>
      </c>
      <c r="G642" s="6" t="s">
        <v>603</v>
      </c>
      <c r="H642" s="7" t="s">
        <v>2052</v>
      </c>
      <c r="I642" s="6"/>
    </row>
    <row r="643" ht="15.75" customHeight="1">
      <c r="A643" s="5">
        <v>652.0</v>
      </c>
      <c r="B643" s="6" t="s">
        <v>1348</v>
      </c>
      <c r="C643" s="5">
        <v>5.70054375571E11</v>
      </c>
      <c r="D643" s="6" t="s">
        <v>2053</v>
      </c>
      <c r="E643" s="6" t="s">
        <v>2054</v>
      </c>
      <c r="F643" s="6" t="s">
        <v>2055</v>
      </c>
      <c r="G643" s="6" t="s">
        <v>603</v>
      </c>
      <c r="H643" s="7" t="s">
        <v>18</v>
      </c>
      <c r="I643" s="6"/>
    </row>
    <row r="644" ht="15.75" customHeight="1">
      <c r="A644" s="5">
        <v>653.0</v>
      </c>
      <c r="B644" s="6" t="s">
        <v>1178</v>
      </c>
      <c r="C644" s="5">
        <v>5.70054375568E11</v>
      </c>
      <c r="D644" s="6" t="s">
        <v>419</v>
      </c>
      <c r="E644" s="6" t="s">
        <v>151</v>
      </c>
      <c r="F644" s="6" t="s">
        <v>2056</v>
      </c>
      <c r="G644" s="6" t="s">
        <v>603</v>
      </c>
      <c r="H644" s="7" t="s">
        <v>18</v>
      </c>
      <c r="I644" s="6"/>
    </row>
    <row r="645" ht="15.75" customHeight="1">
      <c r="A645" s="5">
        <v>654.0</v>
      </c>
      <c r="B645" s="6" t="s">
        <v>2057</v>
      </c>
      <c r="C645" s="5">
        <v>5.70054375585E11</v>
      </c>
      <c r="D645" s="6" t="s">
        <v>2058</v>
      </c>
      <c r="E645" s="6" t="s">
        <v>66</v>
      </c>
      <c r="F645" s="6" t="s">
        <v>2059</v>
      </c>
      <c r="G645" s="6" t="s">
        <v>603</v>
      </c>
      <c r="H645" s="7" t="s">
        <v>18</v>
      </c>
      <c r="I645" s="6"/>
    </row>
    <row r="646" ht="15.75" customHeight="1">
      <c r="A646" s="5">
        <v>655.0</v>
      </c>
      <c r="B646" s="6" t="s">
        <v>2060</v>
      </c>
      <c r="C646" s="5">
        <v>5.70054375593E11</v>
      </c>
      <c r="D646" s="6" t="s">
        <v>2061</v>
      </c>
      <c r="E646" s="6" t="s">
        <v>2062</v>
      </c>
      <c r="F646" s="6" t="s">
        <v>2063</v>
      </c>
      <c r="G646" s="6" t="s">
        <v>2064</v>
      </c>
      <c r="H646" s="7" t="s">
        <v>1941</v>
      </c>
      <c r="I646" s="6"/>
    </row>
    <row r="647" ht="15.75" customHeight="1">
      <c r="A647" s="5">
        <v>656.0</v>
      </c>
      <c r="B647" s="6" t="s">
        <v>1511</v>
      </c>
      <c r="C647" s="5">
        <v>5.70054375587E11</v>
      </c>
      <c r="D647" s="6" t="s">
        <v>2065</v>
      </c>
      <c r="E647" s="6" t="s">
        <v>2066</v>
      </c>
      <c r="F647" s="6" t="s">
        <v>2067</v>
      </c>
      <c r="G647" s="6" t="s">
        <v>603</v>
      </c>
      <c r="H647" s="7" t="s">
        <v>18</v>
      </c>
      <c r="I647" s="6"/>
    </row>
    <row r="648" ht="15.75" customHeight="1">
      <c r="A648" s="5">
        <v>657.0</v>
      </c>
      <c r="B648" s="6" t="s">
        <v>2068</v>
      </c>
      <c r="C648" s="5">
        <v>5.70054375594E11</v>
      </c>
      <c r="D648" s="6" t="s">
        <v>2069</v>
      </c>
      <c r="E648" s="6" t="s">
        <v>2070</v>
      </c>
      <c r="F648" s="6" t="s">
        <v>2071</v>
      </c>
      <c r="G648" s="6" t="s">
        <v>603</v>
      </c>
      <c r="H648" s="7" t="s">
        <v>18</v>
      </c>
      <c r="I648" s="6"/>
    </row>
    <row r="649" ht="15.75" customHeight="1">
      <c r="A649" s="5">
        <v>658.0</v>
      </c>
      <c r="B649" s="6" t="s">
        <v>2072</v>
      </c>
      <c r="C649" s="5">
        <v>5.70054375597E11</v>
      </c>
      <c r="D649" s="6" t="s">
        <v>2073</v>
      </c>
      <c r="E649" s="6" t="s">
        <v>102</v>
      </c>
      <c r="F649" s="6" t="s">
        <v>2074</v>
      </c>
      <c r="G649" s="6" t="s">
        <v>722</v>
      </c>
      <c r="H649" s="7" t="s">
        <v>18</v>
      </c>
      <c r="I649" s="6"/>
    </row>
    <row r="650" ht="15.75" customHeight="1">
      <c r="A650" s="5">
        <v>659.0</v>
      </c>
      <c r="B650" s="6" t="s">
        <v>1482</v>
      </c>
      <c r="C650" s="5">
        <v>5.70054375598E11</v>
      </c>
      <c r="D650" s="6" t="s">
        <v>2075</v>
      </c>
      <c r="E650" s="6" t="s">
        <v>246</v>
      </c>
      <c r="F650" s="6" t="s">
        <v>2076</v>
      </c>
      <c r="G650" s="6" t="s">
        <v>722</v>
      </c>
      <c r="H650" s="7" t="s">
        <v>18</v>
      </c>
      <c r="I650" s="6"/>
    </row>
    <row r="651" ht="15.75" customHeight="1">
      <c r="A651" s="5">
        <v>660.0</v>
      </c>
      <c r="B651" s="6" t="s">
        <v>2077</v>
      </c>
      <c r="C651" s="5">
        <v>5.70054375599E11</v>
      </c>
      <c r="D651" s="6" t="s">
        <v>2078</v>
      </c>
      <c r="E651" s="6" t="s">
        <v>2079</v>
      </c>
      <c r="F651" s="6" t="s">
        <v>2080</v>
      </c>
      <c r="G651" s="6" t="s">
        <v>603</v>
      </c>
      <c r="H651" s="7" t="s">
        <v>18</v>
      </c>
      <c r="I651" s="6"/>
    </row>
    <row r="652" ht="15.75" customHeight="1">
      <c r="A652" s="5">
        <v>661.0</v>
      </c>
      <c r="B652" s="6" t="s">
        <v>1662</v>
      </c>
      <c r="C652" s="5">
        <v>5.70054375604E11</v>
      </c>
      <c r="D652" s="6" t="s">
        <v>2081</v>
      </c>
      <c r="E652" s="6" t="s">
        <v>2082</v>
      </c>
      <c r="F652" s="6" t="s">
        <v>2083</v>
      </c>
      <c r="G652" s="6" t="s">
        <v>603</v>
      </c>
      <c r="H652" s="7" t="s">
        <v>18</v>
      </c>
      <c r="I652" s="6"/>
    </row>
    <row r="653" ht="15.75" customHeight="1">
      <c r="A653" s="5">
        <v>662.0</v>
      </c>
      <c r="B653" s="6" t="s">
        <v>1694</v>
      </c>
      <c r="C653" s="5">
        <v>5.70054375605E11</v>
      </c>
      <c r="D653" s="6" t="s">
        <v>2084</v>
      </c>
      <c r="E653" s="6" t="s">
        <v>2085</v>
      </c>
      <c r="F653" s="6" t="s">
        <v>1907</v>
      </c>
      <c r="G653" s="6" t="s">
        <v>603</v>
      </c>
      <c r="H653" s="7" t="s">
        <v>18</v>
      </c>
      <c r="I653" s="6"/>
    </row>
    <row r="654" ht="15.75" customHeight="1">
      <c r="A654" s="5">
        <v>663.0</v>
      </c>
      <c r="B654" s="6" t="s">
        <v>2086</v>
      </c>
      <c r="C654" s="5">
        <v>5.70054375607E11</v>
      </c>
      <c r="D654" s="6" t="s">
        <v>1988</v>
      </c>
      <c r="E654" s="6" t="s">
        <v>1638</v>
      </c>
      <c r="F654" s="6" t="s">
        <v>2087</v>
      </c>
      <c r="G654" s="6" t="s">
        <v>603</v>
      </c>
      <c r="H654" s="7" t="s">
        <v>18</v>
      </c>
      <c r="I654" s="6"/>
    </row>
    <row r="655" ht="15.75" customHeight="1">
      <c r="A655" s="5">
        <v>664.0</v>
      </c>
      <c r="B655" s="6" t="s">
        <v>2088</v>
      </c>
      <c r="C655" s="5">
        <v>5.70054375608E11</v>
      </c>
      <c r="D655" s="6" t="s">
        <v>1892</v>
      </c>
      <c r="E655" s="6" t="s">
        <v>2089</v>
      </c>
      <c r="F655" s="6" t="s">
        <v>2090</v>
      </c>
      <c r="G655" s="6" t="s">
        <v>603</v>
      </c>
      <c r="H655" s="7" t="s">
        <v>18</v>
      </c>
      <c r="I655" s="6"/>
    </row>
    <row r="656" ht="15.75" customHeight="1">
      <c r="A656" s="5">
        <v>665.0</v>
      </c>
      <c r="B656" s="6" t="s">
        <v>1613</v>
      </c>
      <c r="C656" s="5">
        <v>5.70054375609E11</v>
      </c>
      <c r="D656" s="6" t="s">
        <v>2091</v>
      </c>
      <c r="E656" s="6" t="s">
        <v>2092</v>
      </c>
      <c r="F656" s="6" t="s">
        <v>2093</v>
      </c>
      <c r="G656" s="6" t="s">
        <v>722</v>
      </c>
      <c r="H656" s="7" t="s">
        <v>18</v>
      </c>
      <c r="I656" s="6"/>
    </row>
    <row r="657" ht="15.75" customHeight="1">
      <c r="A657" s="5">
        <v>666.0</v>
      </c>
      <c r="B657" s="6" t="s">
        <v>2094</v>
      </c>
      <c r="C657" s="5">
        <v>5.7005437561E11</v>
      </c>
      <c r="D657" s="6" t="s">
        <v>1359</v>
      </c>
      <c r="E657" s="6" t="s">
        <v>2095</v>
      </c>
      <c r="F657" s="6" t="s">
        <v>2096</v>
      </c>
      <c r="G657" s="6" t="s">
        <v>603</v>
      </c>
      <c r="H657" s="7" t="s">
        <v>18</v>
      </c>
      <c r="I657" s="6"/>
    </row>
    <row r="658" ht="15.75" customHeight="1">
      <c r="A658" s="5">
        <v>667.0</v>
      </c>
      <c r="B658" s="6" t="s">
        <v>2097</v>
      </c>
      <c r="C658" s="5">
        <v>5.70054375612E11</v>
      </c>
      <c r="D658" s="6" t="s">
        <v>2098</v>
      </c>
      <c r="E658" s="6" t="s">
        <v>1433</v>
      </c>
      <c r="F658" s="6" t="s">
        <v>2099</v>
      </c>
      <c r="G658" s="6" t="s">
        <v>603</v>
      </c>
      <c r="H658" s="7" t="s">
        <v>1665</v>
      </c>
      <c r="I658" s="6"/>
    </row>
    <row r="659" ht="15.75" customHeight="1">
      <c r="A659" s="5">
        <v>668.0</v>
      </c>
      <c r="B659" s="6" t="s">
        <v>1929</v>
      </c>
      <c r="C659" s="5">
        <v>5.70054375614E11</v>
      </c>
      <c r="D659" s="6" t="s">
        <v>2100</v>
      </c>
      <c r="E659" s="6" t="s">
        <v>561</v>
      </c>
      <c r="F659" s="6" t="s">
        <v>2101</v>
      </c>
      <c r="G659" s="6" t="s">
        <v>603</v>
      </c>
      <c r="H659" s="7" t="s">
        <v>18</v>
      </c>
      <c r="I659" s="6"/>
    </row>
    <row r="660" ht="15.75" customHeight="1">
      <c r="A660" s="5">
        <v>669.0</v>
      </c>
      <c r="B660" s="6" t="s">
        <v>8</v>
      </c>
      <c r="C660" s="5">
        <v>5.70054375617E11</v>
      </c>
      <c r="D660" s="6" t="s">
        <v>2102</v>
      </c>
      <c r="E660" s="6" t="s">
        <v>45</v>
      </c>
      <c r="F660" s="6" t="s">
        <v>2103</v>
      </c>
      <c r="G660" s="6" t="s">
        <v>572</v>
      </c>
      <c r="H660" s="7" t="s">
        <v>18</v>
      </c>
      <c r="I660" s="6"/>
    </row>
    <row r="661" ht="15.75" customHeight="1">
      <c r="A661" s="5">
        <v>670.0</v>
      </c>
      <c r="B661" s="6" t="s">
        <v>2104</v>
      </c>
      <c r="C661" s="5">
        <v>5.70054375618E11</v>
      </c>
      <c r="D661" s="6" t="s">
        <v>2105</v>
      </c>
      <c r="E661" s="6" t="s">
        <v>2106</v>
      </c>
      <c r="F661" s="6" t="s">
        <v>2107</v>
      </c>
      <c r="G661" s="6" t="s">
        <v>603</v>
      </c>
      <c r="H661" s="7" t="s">
        <v>18</v>
      </c>
      <c r="I661" s="6"/>
    </row>
    <row r="662" ht="15.75" customHeight="1">
      <c r="A662" s="5">
        <v>671.0</v>
      </c>
      <c r="B662" s="6" t="s">
        <v>2048</v>
      </c>
      <c r="C662" s="5">
        <v>5.7005437562E11</v>
      </c>
      <c r="D662" s="6" t="s">
        <v>2108</v>
      </c>
      <c r="E662" s="6" t="s">
        <v>201</v>
      </c>
      <c r="F662" s="6" t="s">
        <v>2109</v>
      </c>
      <c r="G662" s="6" t="s">
        <v>603</v>
      </c>
      <c r="H662" s="7" t="s">
        <v>18</v>
      </c>
      <c r="I662" s="6"/>
    </row>
    <row r="663" ht="15.75" customHeight="1">
      <c r="A663" s="5">
        <v>672.0</v>
      </c>
      <c r="B663" s="6" t="s">
        <v>2110</v>
      </c>
      <c r="C663" s="5">
        <v>5.70054375621E11</v>
      </c>
      <c r="D663" s="6" t="s">
        <v>2111</v>
      </c>
      <c r="E663" s="6" t="s">
        <v>2112</v>
      </c>
      <c r="F663" s="6" t="s">
        <v>2113</v>
      </c>
      <c r="G663" s="6" t="s">
        <v>722</v>
      </c>
      <c r="H663" s="7" t="s">
        <v>18</v>
      </c>
      <c r="I663" s="6"/>
    </row>
    <row r="664" ht="15.75" customHeight="1">
      <c r="A664" s="5">
        <v>673.0</v>
      </c>
      <c r="B664" s="6" t="s">
        <v>2114</v>
      </c>
      <c r="C664" s="5">
        <v>5.70054375622E11</v>
      </c>
      <c r="D664" s="6" t="s">
        <v>1673</v>
      </c>
      <c r="E664" s="6" t="s">
        <v>107</v>
      </c>
      <c r="F664" s="6" t="s">
        <v>2115</v>
      </c>
      <c r="G664" s="6" t="s">
        <v>603</v>
      </c>
      <c r="H664" s="7" t="s">
        <v>18</v>
      </c>
      <c r="I664" s="6"/>
    </row>
    <row r="665" ht="15.75" customHeight="1">
      <c r="A665" s="5">
        <v>674.0</v>
      </c>
      <c r="B665" s="6" t="s">
        <v>1849</v>
      </c>
      <c r="C665" s="5">
        <v>5.70054375623E11</v>
      </c>
      <c r="D665" s="6" t="s">
        <v>2116</v>
      </c>
      <c r="E665" s="6" t="s">
        <v>2117</v>
      </c>
      <c r="F665" s="6" t="s">
        <v>2118</v>
      </c>
      <c r="G665" s="6" t="s">
        <v>603</v>
      </c>
      <c r="H665" s="7" t="s">
        <v>18</v>
      </c>
      <c r="I665" s="6"/>
    </row>
    <row r="666" ht="15.75" customHeight="1">
      <c r="A666" s="5">
        <v>675.0</v>
      </c>
      <c r="B666" s="6" t="s">
        <v>2119</v>
      </c>
      <c r="C666" s="5">
        <v>5.70054375625E11</v>
      </c>
      <c r="D666" s="6" t="s">
        <v>2120</v>
      </c>
      <c r="E666" s="6" t="s">
        <v>2121</v>
      </c>
      <c r="F666" s="6" t="s">
        <v>2122</v>
      </c>
      <c r="G666" s="6" t="s">
        <v>603</v>
      </c>
      <c r="H666" s="7" t="s">
        <v>18</v>
      </c>
      <c r="I666" s="6"/>
    </row>
    <row r="667" ht="15.75" customHeight="1">
      <c r="A667" s="5">
        <v>676.0</v>
      </c>
      <c r="B667" s="6" t="s">
        <v>1929</v>
      </c>
      <c r="C667" s="5">
        <v>5.70054375626E11</v>
      </c>
      <c r="D667" s="6" t="s">
        <v>2123</v>
      </c>
      <c r="E667" s="6" t="s">
        <v>2124</v>
      </c>
      <c r="F667" s="6" t="s">
        <v>2125</v>
      </c>
      <c r="G667" s="6" t="s">
        <v>603</v>
      </c>
      <c r="H667" s="7" t="s">
        <v>18</v>
      </c>
      <c r="I667" s="6"/>
    </row>
    <row r="668" ht="15.75" customHeight="1">
      <c r="A668" s="5">
        <v>677.0</v>
      </c>
      <c r="B668" s="6" t="s">
        <v>2126</v>
      </c>
      <c r="C668" s="5">
        <v>5.70054375627E11</v>
      </c>
      <c r="D668" s="6" t="s">
        <v>2127</v>
      </c>
      <c r="E668" s="6" t="s">
        <v>2128</v>
      </c>
      <c r="F668" s="6" t="s">
        <v>2129</v>
      </c>
      <c r="G668" s="6" t="s">
        <v>603</v>
      </c>
      <c r="H668" s="7" t="s">
        <v>18</v>
      </c>
      <c r="I668" s="6"/>
    </row>
    <row r="669" ht="15.75" customHeight="1">
      <c r="A669" s="5">
        <v>678.0</v>
      </c>
      <c r="B669" s="6" t="s">
        <v>2013</v>
      </c>
      <c r="C669" s="5">
        <v>5.70054375629E11</v>
      </c>
      <c r="D669" s="6" t="s">
        <v>2130</v>
      </c>
      <c r="E669" s="6" t="s">
        <v>1511</v>
      </c>
      <c r="F669" s="6" t="s">
        <v>2131</v>
      </c>
      <c r="G669" s="6" t="s">
        <v>603</v>
      </c>
      <c r="H669" s="7" t="s">
        <v>18</v>
      </c>
      <c r="I669" s="6"/>
    </row>
    <row r="670" ht="15.75" customHeight="1">
      <c r="A670" s="5">
        <v>679.0</v>
      </c>
      <c r="B670" s="6" t="s">
        <v>2132</v>
      </c>
      <c r="C670" s="5">
        <v>5.70054375631E11</v>
      </c>
      <c r="D670" s="6" t="s">
        <v>2133</v>
      </c>
      <c r="E670" s="6" t="s">
        <v>506</v>
      </c>
      <c r="F670" s="6" t="s">
        <v>2134</v>
      </c>
      <c r="G670" s="6" t="s">
        <v>572</v>
      </c>
      <c r="H670" s="7" t="s">
        <v>18</v>
      </c>
      <c r="I670" s="6"/>
    </row>
    <row r="671" ht="15.75" customHeight="1">
      <c r="A671" s="5">
        <v>680.0</v>
      </c>
      <c r="B671" s="6" t="s">
        <v>2135</v>
      </c>
      <c r="C671" s="5">
        <v>5.70054375632E11</v>
      </c>
      <c r="D671" s="6" t="s">
        <v>2136</v>
      </c>
      <c r="E671" s="6" t="s">
        <v>2137</v>
      </c>
      <c r="F671" s="6" t="s">
        <v>2138</v>
      </c>
      <c r="G671" s="6" t="s">
        <v>603</v>
      </c>
      <c r="H671" s="7" t="s">
        <v>18</v>
      </c>
      <c r="I671" s="6"/>
    </row>
    <row r="672" ht="15.75" customHeight="1">
      <c r="A672" s="5">
        <v>681.0</v>
      </c>
      <c r="B672" s="6" t="s">
        <v>2139</v>
      </c>
      <c r="C672" s="5">
        <v>5.70054375633E11</v>
      </c>
      <c r="D672" s="6" t="s">
        <v>1826</v>
      </c>
      <c r="E672" s="6" t="s">
        <v>2140</v>
      </c>
      <c r="F672" s="6" t="s">
        <v>2141</v>
      </c>
      <c r="G672" s="6" t="s">
        <v>603</v>
      </c>
      <c r="H672" s="7" t="s">
        <v>18</v>
      </c>
      <c r="I672" s="6"/>
    </row>
    <row r="673" ht="15.75" customHeight="1">
      <c r="A673" s="5">
        <v>682.0</v>
      </c>
      <c r="B673" s="6" t="s">
        <v>1607</v>
      </c>
      <c r="C673" s="5">
        <v>5.70054375634E11</v>
      </c>
      <c r="D673" s="6" t="s">
        <v>2142</v>
      </c>
      <c r="E673" s="6" t="s">
        <v>2143</v>
      </c>
      <c r="F673" s="6" t="s">
        <v>2144</v>
      </c>
      <c r="G673" s="6" t="s">
        <v>603</v>
      </c>
      <c r="H673" s="7" t="s">
        <v>18</v>
      </c>
      <c r="I673" s="6"/>
    </row>
    <row r="674" ht="15.75" customHeight="1">
      <c r="A674" s="5">
        <v>683.0</v>
      </c>
      <c r="B674" s="6" t="s">
        <v>2145</v>
      </c>
      <c r="C674" s="5">
        <v>5.70054375635E11</v>
      </c>
      <c r="D674" s="6" t="s">
        <v>2146</v>
      </c>
      <c r="E674" s="6" t="s">
        <v>647</v>
      </c>
      <c r="F674" s="6" t="s">
        <v>2147</v>
      </c>
      <c r="G674" s="6" t="s">
        <v>722</v>
      </c>
      <c r="H674" s="7" t="s">
        <v>18</v>
      </c>
      <c r="I674" s="6"/>
    </row>
    <row r="675" ht="15.75" customHeight="1">
      <c r="A675" s="5">
        <v>684.0</v>
      </c>
      <c r="B675" s="6" t="s">
        <v>2148</v>
      </c>
      <c r="C675" s="5">
        <v>5.70054375636E11</v>
      </c>
      <c r="D675" s="6" t="s">
        <v>2149</v>
      </c>
      <c r="E675" s="6" t="s">
        <v>2150</v>
      </c>
      <c r="F675" s="6" t="s">
        <v>2151</v>
      </c>
      <c r="G675" s="6" t="s">
        <v>722</v>
      </c>
      <c r="H675" s="7" t="s">
        <v>18</v>
      </c>
      <c r="I675" s="6"/>
    </row>
    <row r="676" ht="15.75" customHeight="1">
      <c r="A676" s="5">
        <v>685.0</v>
      </c>
      <c r="B676" s="6" t="s">
        <v>2152</v>
      </c>
      <c r="C676" s="5">
        <v>5.70054375637E11</v>
      </c>
      <c r="D676" s="6" t="s">
        <v>1826</v>
      </c>
      <c r="E676" s="6" t="s">
        <v>197</v>
      </c>
      <c r="F676" s="6" t="s">
        <v>2153</v>
      </c>
      <c r="G676" s="6" t="s">
        <v>603</v>
      </c>
      <c r="H676" s="7" t="s">
        <v>18</v>
      </c>
      <c r="I676" s="6"/>
    </row>
    <row r="677" ht="15.75" customHeight="1">
      <c r="A677" s="5">
        <v>686.0</v>
      </c>
      <c r="B677" s="6" t="s">
        <v>2154</v>
      </c>
      <c r="C677" s="5">
        <v>5.70054375638E11</v>
      </c>
      <c r="D677" s="6" t="s">
        <v>2155</v>
      </c>
      <c r="E677" s="6" t="s">
        <v>2156</v>
      </c>
      <c r="F677" s="6" t="s">
        <v>2157</v>
      </c>
      <c r="G677" s="6" t="s">
        <v>603</v>
      </c>
      <c r="H677" s="7" t="s">
        <v>18</v>
      </c>
      <c r="I677" s="6"/>
    </row>
    <row r="678" ht="15.75" customHeight="1">
      <c r="A678" s="5">
        <v>687.0</v>
      </c>
      <c r="B678" s="6" t="s">
        <v>2158</v>
      </c>
      <c r="C678" s="5">
        <v>5.7005437564E11</v>
      </c>
      <c r="D678" s="6" t="s">
        <v>2159</v>
      </c>
      <c r="E678" s="6" t="s">
        <v>70</v>
      </c>
      <c r="F678" s="6" t="s">
        <v>2160</v>
      </c>
      <c r="G678" s="6" t="s">
        <v>603</v>
      </c>
      <c r="H678" s="7" t="s">
        <v>18</v>
      </c>
      <c r="I678" s="6"/>
    </row>
    <row r="679" ht="15.75" customHeight="1">
      <c r="A679" s="5">
        <v>688.0</v>
      </c>
      <c r="B679" s="6" t="s">
        <v>1613</v>
      </c>
      <c r="C679" s="5">
        <v>5.70054375642E11</v>
      </c>
      <c r="D679" s="6" t="s">
        <v>967</v>
      </c>
      <c r="E679" s="6" t="s">
        <v>2161</v>
      </c>
      <c r="F679" s="6" t="s">
        <v>2162</v>
      </c>
      <c r="G679" s="6" t="s">
        <v>603</v>
      </c>
      <c r="H679" s="7" t="s">
        <v>18</v>
      </c>
      <c r="I679" s="6"/>
    </row>
    <row r="680" ht="15.75" customHeight="1">
      <c r="A680" s="5">
        <v>689.0</v>
      </c>
      <c r="B680" s="6" t="s">
        <v>2163</v>
      </c>
      <c r="C680" s="5">
        <v>5.70054375643E11</v>
      </c>
      <c r="D680" s="6" t="s">
        <v>2164</v>
      </c>
      <c r="E680" s="6" t="s">
        <v>847</v>
      </c>
      <c r="F680" s="6" t="s">
        <v>2165</v>
      </c>
      <c r="G680" s="6" t="s">
        <v>603</v>
      </c>
      <c r="H680" s="7" t="s">
        <v>18</v>
      </c>
      <c r="I680" s="6"/>
    </row>
    <row r="681" ht="15.75" customHeight="1">
      <c r="A681" s="5">
        <v>690.0</v>
      </c>
      <c r="B681" s="6" t="s">
        <v>2166</v>
      </c>
      <c r="C681" s="5">
        <v>5.70054375644E11</v>
      </c>
      <c r="D681" s="6" t="s">
        <v>2146</v>
      </c>
      <c r="E681" s="6" t="s">
        <v>647</v>
      </c>
      <c r="F681" s="6" t="s">
        <v>2167</v>
      </c>
      <c r="G681" s="6" t="s">
        <v>603</v>
      </c>
      <c r="H681" s="7" t="s">
        <v>18</v>
      </c>
      <c r="I681" s="6"/>
    </row>
    <row r="682" ht="15.75" customHeight="1">
      <c r="A682" s="5">
        <v>691.0</v>
      </c>
      <c r="B682" s="6" t="s">
        <v>2168</v>
      </c>
      <c r="C682" s="5">
        <v>5.70054375646E11</v>
      </c>
      <c r="D682" s="6" t="s">
        <v>1826</v>
      </c>
      <c r="E682" s="6" t="s">
        <v>2169</v>
      </c>
      <c r="F682" s="6" t="s">
        <v>2170</v>
      </c>
      <c r="G682" s="6" t="s">
        <v>603</v>
      </c>
      <c r="H682" s="7" t="s">
        <v>18</v>
      </c>
      <c r="I682" s="6"/>
    </row>
    <row r="683" ht="15.75" customHeight="1">
      <c r="A683" s="5">
        <v>692.0</v>
      </c>
      <c r="B683" s="6" t="s">
        <v>1342</v>
      </c>
      <c r="C683" s="5">
        <v>5.7005437565E11</v>
      </c>
      <c r="D683" s="6" t="s">
        <v>1826</v>
      </c>
      <c r="E683" s="6" t="s">
        <v>2169</v>
      </c>
      <c r="F683" s="6" t="s">
        <v>2171</v>
      </c>
      <c r="G683" s="6" t="s">
        <v>722</v>
      </c>
      <c r="H683" s="7" t="s">
        <v>18</v>
      </c>
      <c r="I683" s="6"/>
    </row>
    <row r="684" ht="15.75" customHeight="1">
      <c r="A684" s="5">
        <v>693.0</v>
      </c>
      <c r="B684" s="6" t="s">
        <v>823</v>
      </c>
      <c r="C684" s="5">
        <v>5.70054375656E11</v>
      </c>
      <c r="D684" s="6" t="s">
        <v>2172</v>
      </c>
      <c r="E684" s="6" t="s">
        <v>41</v>
      </c>
      <c r="F684" s="6" t="s">
        <v>2173</v>
      </c>
      <c r="G684" s="6" t="s">
        <v>603</v>
      </c>
      <c r="H684" s="7" t="s">
        <v>18</v>
      </c>
      <c r="I684" s="6"/>
    </row>
    <row r="685" ht="15.75" customHeight="1">
      <c r="A685" s="5">
        <v>694.0</v>
      </c>
      <c r="B685" s="6" t="s">
        <v>2152</v>
      </c>
      <c r="C685" s="5">
        <v>5.700540000027E12</v>
      </c>
      <c r="D685" s="6" t="s">
        <v>2174</v>
      </c>
      <c r="E685" s="6" t="s">
        <v>1387</v>
      </c>
      <c r="F685" s="6" t="s">
        <v>2175</v>
      </c>
      <c r="G685" s="6" t="s">
        <v>603</v>
      </c>
      <c r="H685" s="7" t="s">
        <v>18</v>
      </c>
      <c r="I685" s="6"/>
    </row>
    <row r="686" ht="15.75" customHeight="1">
      <c r="A686" s="5">
        <v>695.0</v>
      </c>
      <c r="B686" s="6" t="s">
        <v>1340</v>
      </c>
      <c r="C686" s="5">
        <v>5.70054000045E12</v>
      </c>
      <c r="D686" s="6" t="s">
        <v>2176</v>
      </c>
      <c r="E686" s="6" t="s">
        <v>1638</v>
      </c>
      <c r="F686" s="6" t="s">
        <v>2177</v>
      </c>
      <c r="G686" s="6" t="s">
        <v>722</v>
      </c>
      <c r="H686" s="7" t="s">
        <v>18</v>
      </c>
      <c r="I686" s="6"/>
    </row>
    <row r="687" ht="15.75" customHeight="1">
      <c r="A687" s="5">
        <v>696.0</v>
      </c>
      <c r="B687" s="6" t="s">
        <v>2178</v>
      </c>
      <c r="C687" s="5">
        <v>5.700540000451E12</v>
      </c>
      <c r="D687" s="6" t="s">
        <v>2179</v>
      </c>
      <c r="E687" s="6" t="s">
        <v>102</v>
      </c>
      <c r="F687" s="6" t="s">
        <v>2180</v>
      </c>
      <c r="G687" s="6" t="s">
        <v>722</v>
      </c>
      <c r="H687" s="7" t="s">
        <v>18</v>
      </c>
      <c r="I687" s="6"/>
    </row>
    <row r="688" ht="15.75" customHeight="1">
      <c r="A688" s="5">
        <v>697.0</v>
      </c>
      <c r="B688" s="6" t="s">
        <v>2181</v>
      </c>
      <c r="C688" s="5">
        <v>5.700540000452E12</v>
      </c>
      <c r="D688" s="6" t="s">
        <v>2182</v>
      </c>
      <c r="E688" s="6" t="s">
        <v>647</v>
      </c>
      <c r="F688" s="6" t="s">
        <v>2183</v>
      </c>
      <c r="G688" s="6" t="s">
        <v>603</v>
      </c>
      <c r="H688" s="7" t="s">
        <v>18</v>
      </c>
      <c r="I688" s="6"/>
    </row>
    <row r="689" ht="15.75" customHeight="1">
      <c r="A689" s="5">
        <v>698.0</v>
      </c>
      <c r="B689" s="6" t="s">
        <v>2184</v>
      </c>
      <c r="C689" s="5">
        <v>5.700540000453E12</v>
      </c>
      <c r="D689" s="6" t="s">
        <v>2185</v>
      </c>
      <c r="E689" s="6" t="s">
        <v>1957</v>
      </c>
      <c r="F689" s="6" t="s">
        <v>2186</v>
      </c>
      <c r="G689" s="6" t="s">
        <v>722</v>
      </c>
      <c r="H689" s="7" t="s">
        <v>18</v>
      </c>
      <c r="I689" s="6"/>
    </row>
    <row r="690" ht="15.75" customHeight="1">
      <c r="A690" s="5">
        <v>699.0</v>
      </c>
      <c r="B690" s="6" t="s">
        <v>2187</v>
      </c>
      <c r="C690" s="5">
        <v>5.700540000455E12</v>
      </c>
      <c r="D690" s="6" t="s">
        <v>2188</v>
      </c>
      <c r="E690" s="6" t="s">
        <v>2189</v>
      </c>
      <c r="F690" s="6" t="s">
        <v>2190</v>
      </c>
      <c r="G690" s="6" t="s">
        <v>572</v>
      </c>
      <c r="H690" s="7" t="s">
        <v>18</v>
      </c>
      <c r="I690" s="6"/>
    </row>
    <row r="691" ht="15.75" customHeight="1">
      <c r="A691" s="5">
        <v>700.0</v>
      </c>
      <c r="B691" s="6" t="s">
        <v>1307</v>
      </c>
      <c r="C691" s="5">
        <v>5.700540000456E12</v>
      </c>
      <c r="D691" s="6" t="s">
        <v>2191</v>
      </c>
      <c r="E691" s="6" t="s">
        <v>423</v>
      </c>
      <c r="F691" s="6" t="s">
        <v>2192</v>
      </c>
      <c r="G691" s="6" t="s">
        <v>722</v>
      </c>
      <c r="H691" s="7" t="s">
        <v>18</v>
      </c>
      <c r="I691" s="6"/>
    </row>
    <row r="692" ht="15.75" customHeight="1">
      <c r="A692" s="5">
        <v>701.0</v>
      </c>
      <c r="B692" s="6" t="s">
        <v>2193</v>
      </c>
      <c r="C692" s="5">
        <v>5.700540000457E12</v>
      </c>
      <c r="D692" s="6" t="s">
        <v>2194</v>
      </c>
      <c r="E692" s="6" t="s">
        <v>2161</v>
      </c>
      <c r="F692" s="6" t="s">
        <v>2195</v>
      </c>
      <c r="G692" s="6" t="s">
        <v>603</v>
      </c>
      <c r="H692" s="7" t="s">
        <v>18</v>
      </c>
      <c r="I692" s="6"/>
    </row>
    <row r="693" ht="15.75" customHeight="1">
      <c r="A693" s="5">
        <v>702.0</v>
      </c>
      <c r="B693" s="6" t="s">
        <v>2196</v>
      </c>
      <c r="C693" s="5">
        <v>5.700540000459E12</v>
      </c>
      <c r="D693" s="6" t="s">
        <v>1781</v>
      </c>
      <c r="E693" s="6" t="s">
        <v>201</v>
      </c>
      <c r="F693" s="6" t="s">
        <v>2197</v>
      </c>
      <c r="G693" s="6" t="s">
        <v>603</v>
      </c>
      <c r="H693" s="7" t="s">
        <v>18</v>
      </c>
      <c r="I693" s="6"/>
    </row>
    <row r="694" ht="15.75" customHeight="1">
      <c r="A694" s="5">
        <v>703.0</v>
      </c>
      <c r="B694" s="6" t="s">
        <v>2198</v>
      </c>
      <c r="C694" s="5">
        <v>5.70054375652E11</v>
      </c>
      <c r="D694" s="6" t="s">
        <v>2199</v>
      </c>
      <c r="E694" s="6" t="s">
        <v>2200</v>
      </c>
      <c r="F694" s="6" t="s">
        <v>2201</v>
      </c>
      <c r="G694" s="6" t="s">
        <v>603</v>
      </c>
      <c r="H694" s="7" t="s">
        <v>18</v>
      </c>
      <c r="I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8" t="s">
        <v>2202</v>
      </c>
      <c r="B1" s="4" t="str">
        <f>IFERROR(__xludf.DUMMYFUNCTION("SPLIT(A1,"","")"),"ক্রমিক নং")</f>
        <v>ক্রমিক নং</v>
      </c>
      <c r="C1" s="4" t="str">
        <f>IFERROR(__xludf.DUMMYFUNCTION("""COMPUTED_VALUE"""),"নাম")</f>
        <v>নাম</v>
      </c>
      <c r="D1" s="4" t="str">
        <f>IFERROR(__xludf.DUMMYFUNCTION("""COMPUTED_VALUE"""),"ভোটার নং")</f>
        <v>ভোটার নং</v>
      </c>
      <c r="E1" s="4" t="str">
        <f>IFERROR(__xludf.DUMMYFUNCTION("""COMPUTED_VALUE"""),"পিতা")</f>
        <v>পিতা</v>
      </c>
      <c r="F1" s="4" t="str">
        <f>IFERROR(__xludf.DUMMYFUNCTION("""COMPUTED_VALUE"""),"মাতা")</f>
        <v>মাতা</v>
      </c>
      <c r="G1" s="4" t="str">
        <f>IFERROR(__xludf.DUMMYFUNCTION("""COMPUTED_VALUE"""),"জন্ম তারিখ")</f>
        <v>জন্ম তারিখ</v>
      </c>
      <c r="H1" s="4" t="str">
        <f>IFERROR(__xludf.DUMMYFUNCTION("""COMPUTED_VALUE"""),"পেশা")</f>
        <v>পেশা</v>
      </c>
      <c r="I1" s="4" t="str">
        <f>IFERROR(__xludf.DUMMYFUNCTION("""COMPUTED_VALUE"""),"ঠিকানা")</f>
        <v>ঠিকানা</v>
      </c>
    </row>
    <row r="2" ht="15.75" customHeight="1">
      <c r="A2" s="8" t="s">
        <v>2203</v>
      </c>
      <c r="B2" s="4">
        <f>IFERROR(__xludf.DUMMYFUNCTION("SPLIT(A2,"","")"),2.0)</f>
        <v>2</v>
      </c>
      <c r="C2" s="4" t="str">
        <f>IFERROR(__xludf.DUMMYFUNCTION("""COMPUTED_VALUE"""),"সুমাইয়া খাতুন")</f>
        <v>সুমাইয়া খাতুন</v>
      </c>
      <c r="D2" s="4">
        <f>IFERROR(__xludf.DUMMYFUNCTION("""COMPUTED_VALUE"""),5.700543742619E12)</f>
        <v>5700543742619</v>
      </c>
      <c r="E2" s="4" t="str">
        <f>IFERROR(__xludf.DUMMYFUNCTION("""COMPUTED_VALUE"""),"মোঃ চুরমান আলী")</f>
        <v>মোঃ চুরমান আলী</v>
      </c>
      <c r="F2" s="4" t="str">
        <f>IFERROR(__xludf.DUMMYFUNCTION("""COMPUTED_VALUE"""),"মোছাঃ রেকমত খাতুন")</f>
        <v>মোছাঃ রেকমত খাতুন</v>
      </c>
      <c r="G2" s="4" t="str">
        <f>IFERROR(__xludf.DUMMYFUNCTION("""COMPUTED_VALUE"""),"০৮/০৮/২০০৪")</f>
        <v>০৮/০৮/২০০৪</v>
      </c>
      <c r="H2" s="4" t="str">
        <f>IFERROR(__xludf.DUMMYFUNCTION("""COMPUTED_VALUE"""),"গৃহিনী")</f>
        <v>গৃহিনী</v>
      </c>
      <c r="I2" s="4" t="str">
        <f>IFERROR(__xludf.DUMMYFUNCTION("""COMPUTED_VALUE"""),"""চান্দামারি")</f>
        <v>"চান্দামারি</v>
      </c>
      <c r="J2" s="4" t="str">
        <f>IFERROR(__xludf.DUMMYFUNCTION("""COMPUTED_VALUE""")," শানঘাট")</f>
        <v> শানঘাট</v>
      </c>
      <c r="K2" s="4" t="str">
        <f>IFERROR(__xludf.DUMMYFUNCTION("""COMPUTED_VALUE""")," গাংনী")</f>
        <v> গাংনী</v>
      </c>
      <c r="L2" s="4" t="str">
        <f>IFERROR(__xludf.DUMMYFUNCTION("""COMPUTED_VALUE""")," মেহেরপুর""")</f>
        <v> মেহেরপুর"</v>
      </c>
    </row>
    <row r="3" ht="15.75" customHeight="1">
      <c r="A3" s="8" t="s">
        <v>2204</v>
      </c>
      <c r="B3" s="4">
        <f>IFERROR(__xludf.DUMMYFUNCTION("SPLIT(A3,"","")"),3.0)</f>
        <v>3</v>
      </c>
      <c r="C3" s="4" t="str">
        <f>IFERROR(__xludf.DUMMYFUNCTION("""COMPUTED_VALUE"""),"মোছাঃ মমিনা খাতুন")</f>
        <v>মোছাঃ মমিনা খাতুন</v>
      </c>
      <c r="D3" s="4">
        <f>IFERROR(__xludf.DUMMYFUNCTION("""COMPUTED_VALUE"""),5.700543774002E12)</f>
        <v>5700543774002</v>
      </c>
      <c r="E3" s="4" t="str">
        <f>IFERROR(__xludf.DUMMYFUNCTION("""COMPUTED_VALUE"""),"খোরশেদ")</f>
        <v>খোরশেদ</v>
      </c>
      <c r="F3" s="4" t="str">
        <f>IFERROR(__xludf.DUMMYFUNCTION("""COMPUTED_VALUE"""),"মোছাঃ মইফুল খাতুন")</f>
        <v>মোছাঃ মইফুল খাতুন</v>
      </c>
      <c r="G3" s="4" t="str">
        <f>IFERROR(__xludf.DUMMYFUNCTION("""COMPUTED_VALUE"""),"১০/১০/১৯৭২")</f>
        <v>১০/১০/১৯৭২</v>
      </c>
      <c r="H3" s="4" t="str">
        <f>IFERROR(__xludf.DUMMYFUNCTION("""COMPUTED_VALUE"""),"গৃহিনী")</f>
        <v>গৃহিনী</v>
      </c>
      <c r="I3" s="4" t="str">
        <f>IFERROR(__xludf.DUMMYFUNCTION("""COMPUTED_VALUE"""),"""মহিষাখোলা")</f>
        <v>"মহিষাখোলা</v>
      </c>
      <c r="J3" s="4" t="str">
        <f>IFERROR(__xludf.DUMMYFUNCTION("""COMPUTED_VALUE""")," গাংনী")</f>
        <v> গাংনী</v>
      </c>
      <c r="K3" s="4" t="str">
        <f>IFERROR(__xludf.DUMMYFUNCTION("""COMPUTED_VALUE""")," মেহেরপুর""")</f>
        <v> মেহেরপুর"</v>
      </c>
    </row>
    <row r="4" ht="15.75" customHeight="1">
      <c r="A4" s="8" t="s">
        <v>2205</v>
      </c>
      <c r="B4" s="4">
        <f>IFERROR(__xludf.DUMMYFUNCTION("SPLIT(A4,"","")"),4.0)</f>
        <v>4</v>
      </c>
      <c r="C4" s="4" t="str">
        <f>IFERROR(__xludf.DUMMYFUNCTION("""COMPUTED_VALUE"""),"মোছাঃ আয়েশা খাতুন")</f>
        <v>মোছাঃ আয়েশা খাতুন</v>
      </c>
      <c r="D4" s="4">
        <f>IFERROR(__xludf.DUMMYFUNCTION("""COMPUTED_VALUE"""),5.700543774004E12)</f>
        <v>5700543774004</v>
      </c>
      <c r="E4" s="4" t="str">
        <f>IFERROR(__xludf.DUMMYFUNCTION("""COMPUTED_VALUE"""),"হায়দার আলী মোল্লা")</f>
        <v>হায়দার আলী মোল্লা</v>
      </c>
      <c r="F4" s="4" t="str">
        <f>IFERROR(__xludf.DUMMYFUNCTION("""COMPUTED_VALUE"""),"রওশনয়ারা")</f>
        <v>রওশনয়ারা</v>
      </c>
      <c r="G4" s="4" t="str">
        <f>IFERROR(__xludf.DUMMYFUNCTION("""COMPUTED_VALUE"""),"০১/০১/১৯৩৮")</f>
        <v>০১/০১/১৯৩৮</v>
      </c>
      <c r="H4" s="4" t="str">
        <f>IFERROR(__xludf.DUMMYFUNCTION("""COMPUTED_VALUE"""),"গৃহিনী")</f>
        <v>গৃহিনী</v>
      </c>
      <c r="I4" s="4" t="str">
        <f>IFERROR(__xludf.DUMMYFUNCTION("""COMPUTED_VALUE"""),"""মহিষাখোলা")</f>
        <v>"মহিষাখোলা</v>
      </c>
      <c r="J4" s="4" t="str">
        <f>IFERROR(__xludf.DUMMYFUNCTION("""COMPUTED_VALUE""")," গাংনী")</f>
        <v> গাংনী</v>
      </c>
      <c r="K4" s="4" t="str">
        <f>IFERROR(__xludf.DUMMYFUNCTION("""COMPUTED_VALUE""")," মেহেরপুর""")</f>
        <v> মেহেরপুর"</v>
      </c>
    </row>
    <row r="5" ht="15.75" customHeight="1">
      <c r="A5" s="8" t="s">
        <v>2206</v>
      </c>
      <c r="B5" s="4">
        <f>IFERROR(__xludf.DUMMYFUNCTION("SPLIT(A5,"","")"),5.0)</f>
        <v>5</v>
      </c>
      <c r="C5" s="4" t="str">
        <f>IFERROR(__xludf.DUMMYFUNCTION("""COMPUTED_VALUE"""),"মোছাঃ রমেছা বেগম")</f>
        <v>মোছাঃ রমেছা বেগম</v>
      </c>
      <c r="D5" s="4">
        <f>IFERROR(__xludf.DUMMYFUNCTION("""COMPUTED_VALUE"""),5.700543774005E12)</f>
        <v>5700543774005</v>
      </c>
      <c r="E5" s="4" t="str">
        <f>IFERROR(__xludf.DUMMYFUNCTION("""COMPUTED_VALUE"""),"মোঃ আফজাল হোসেন")</f>
        <v>মোঃ আফজাল হোসেন</v>
      </c>
      <c r="F5" s="4" t="str">
        <f>IFERROR(__xludf.DUMMYFUNCTION("""COMPUTED_VALUE"""),"হামেদা বেগম")</f>
        <v>হামেদা বেগম</v>
      </c>
      <c r="G5" s="4" t="str">
        <f>IFERROR(__xludf.DUMMYFUNCTION("""COMPUTED_VALUE"""),"১০/১০/১৯৭৫")</f>
        <v>১০/১০/১৯৭৫</v>
      </c>
      <c r="H5" s="4" t="str">
        <f>IFERROR(__xludf.DUMMYFUNCTION("""COMPUTED_VALUE"""),"গৃহিনী")</f>
        <v>গৃহিনী</v>
      </c>
      <c r="I5" s="4" t="str">
        <f>IFERROR(__xludf.DUMMYFUNCTION("""COMPUTED_VALUE"""),"""মহিষাখোলা")</f>
        <v>"মহিষাখোলা</v>
      </c>
      <c r="J5" s="4" t="str">
        <f>IFERROR(__xludf.DUMMYFUNCTION("""COMPUTED_VALUE""")," গাংনী")</f>
        <v> গাংনী</v>
      </c>
      <c r="K5" s="4" t="str">
        <f>IFERROR(__xludf.DUMMYFUNCTION("""COMPUTED_VALUE""")," মেহেরপুর""")</f>
        <v> মেহেরপুর"</v>
      </c>
    </row>
    <row r="6" ht="15.75" customHeight="1">
      <c r="A6" s="8" t="s">
        <v>2207</v>
      </c>
      <c r="B6" s="4">
        <f>IFERROR(__xludf.DUMMYFUNCTION("SPLIT(A6,"","")"),6.0)</f>
        <v>6</v>
      </c>
      <c r="C6" s="4" t="str">
        <f>IFERROR(__xludf.DUMMYFUNCTION("""COMPUTED_VALUE"""),"মোছাঃ বিলকিছ আরা")</f>
        <v>মোছাঃ বিলকিছ আরা</v>
      </c>
      <c r="D6" s="4">
        <f>IFERROR(__xludf.DUMMYFUNCTION("""COMPUTED_VALUE"""),5.700543774006E12)</f>
        <v>5700543774006</v>
      </c>
      <c r="E6" s="4" t="str">
        <f>IFERROR(__xludf.DUMMYFUNCTION("""COMPUTED_VALUE"""),"মোঃ নাজিরুদ্দিন")</f>
        <v>মোঃ নাজিরুদ্দিন</v>
      </c>
      <c r="F6" s="4" t="str">
        <f>IFERROR(__xludf.DUMMYFUNCTION("""COMPUTED_VALUE"""),"মোছাঃ হিয়াতন নেছা")</f>
        <v>মোছাঃ হিয়াতন নেছা</v>
      </c>
      <c r="G6" s="4" t="str">
        <f>IFERROR(__xludf.DUMMYFUNCTION("""COMPUTED_VALUE"""),"১০/০৫/১৯৮৫")</f>
        <v>১০/০৫/১৯৮৫</v>
      </c>
      <c r="H6" s="4" t="str">
        <f>IFERROR(__xludf.DUMMYFUNCTION("""COMPUTED_VALUE"""),"গৃহিনী")</f>
        <v>গৃহিনী</v>
      </c>
      <c r="I6" s="4" t="str">
        <f>IFERROR(__xludf.DUMMYFUNCTION("""COMPUTED_VALUE"""),"""মহিষাখোলা")</f>
        <v>"মহিষাখোলা</v>
      </c>
      <c r="J6" s="4" t="str">
        <f>IFERROR(__xludf.DUMMYFUNCTION("""COMPUTED_VALUE""")," গাংনী")</f>
        <v> গাংনী</v>
      </c>
      <c r="K6" s="4" t="str">
        <f>IFERROR(__xludf.DUMMYFUNCTION("""COMPUTED_VALUE""")," মেহেরপুর""")</f>
        <v> মেহেরপুর"</v>
      </c>
    </row>
    <row r="7" ht="15.75" customHeight="1">
      <c r="A7" s="8" t="s">
        <v>2208</v>
      </c>
      <c r="B7" s="4">
        <f>IFERROR(__xludf.DUMMYFUNCTION("SPLIT(A7,"","")"),7.0)</f>
        <v>7</v>
      </c>
      <c r="C7" s="4" t="str">
        <f>IFERROR(__xludf.DUMMYFUNCTION("""COMPUTED_VALUE"""),"মোছাঃ নুরজাহান")</f>
        <v>মোছাঃ নুরজাহান</v>
      </c>
      <c r="D7" s="4">
        <f>IFERROR(__xludf.DUMMYFUNCTION("""COMPUTED_VALUE"""),5.700543774007E12)</f>
        <v>5700543774007</v>
      </c>
      <c r="E7" s="4" t="str">
        <f>IFERROR(__xludf.DUMMYFUNCTION("""COMPUTED_VALUE"""),"মোঃ মহসীন মন্ডল")</f>
        <v>মোঃ মহসীন মন্ডল</v>
      </c>
      <c r="F7" s="4" t="str">
        <f>IFERROR(__xludf.DUMMYFUNCTION("""COMPUTED_VALUE"""),"মোছাঃ ওসিকা খাতুন")</f>
        <v>মোছাঃ ওসিকা খাতুন</v>
      </c>
      <c r="G7" s="4" t="str">
        <f>IFERROR(__xludf.DUMMYFUNCTION("""COMPUTED_VALUE"""),"১০/০৫/১৯৭৭")</f>
        <v>১০/০৫/১৯৭৭</v>
      </c>
      <c r="H7" s="4" t="str">
        <f>IFERROR(__xludf.DUMMYFUNCTION("""COMPUTED_VALUE"""),"গৃহিনী")</f>
        <v>গৃহিনী</v>
      </c>
      <c r="I7" s="4" t="str">
        <f>IFERROR(__xludf.DUMMYFUNCTION("""COMPUTED_VALUE"""),"""মহিষাখোলা")</f>
        <v>"মহিষাখোলা</v>
      </c>
      <c r="J7" s="4" t="str">
        <f>IFERROR(__xludf.DUMMYFUNCTION("""COMPUTED_VALUE""")," গাংনী")</f>
        <v> গাংনী</v>
      </c>
      <c r="K7" s="4" t="str">
        <f>IFERROR(__xludf.DUMMYFUNCTION("""COMPUTED_VALUE""")," মেহেরপুর""")</f>
        <v> মেহেরপুর"</v>
      </c>
    </row>
    <row r="8" ht="15.75" customHeight="1">
      <c r="A8" s="8" t="s">
        <v>2209</v>
      </c>
      <c r="B8" s="4">
        <f>IFERROR(__xludf.DUMMYFUNCTION("SPLIT(A8,"","")"),8.0)</f>
        <v>8</v>
      </c>
      <c r="C8" s="4" t="str">
        <f>IFERROR(__xludf.DUMMYFUNCTION("""COMPUTED_VALUE"""),"মোছাঃ মরিয়ম")</f>
        <v>মোছাঃ মরিয়ম</v>
      </c>
      <c r="D8" s="4">
        <f>IFERROR(__xludf.DUMMYFUNCTION("""COMPUTED_VALUE"""),5.700543774009E12)</f>
        <v>5700543774009</v>
      </c>
      <c r="E8" s="4" t="str">
        <f>IFERROR(__xludf.DUMMYFUNCTION("""COMPUTED_VALUE"""),"নূরী ইসলাম")</f>
        <v>নূরী ইসলাম</v>
      </c>
      <c r="F8" s="4" t="str">
        <f>IFERROR(__xludf.DUMMYFUNCTION("""COMPUTED_VALUE"""),"মোছাঃ জায়েদা খাতুন")</f>
        <v>মোছাঃ জায়েদা খাতুন</v>
      </c>
      <c r="G8" s="4" t="str">
        <f>IFERROR(__xludf.DUMMYFUNCTION("""COMPUTED_VALUE"""),"১০/০৬/১৯৭৭")</f>
        <v>১০/০৬/১৯৭৭</v>
      </c>
      <c r="H8" s="4" t="str">
        <f>IFERROR(__xludf.DUMMYFUNCTION("""COMPUTED_VALUE"""),"গৃহিনী")</f>
        <v>গৃহিনী</v>
      </c>
      <c r="I8" s="4" t="str">
        <f>IFERROR(__xludf.DUMMYFUNCTION("""COMPUTED_VALUE"""),"""মহিষাখোলা")</f>
        <v>"মহিষাখোলা</v>
      </c>
      <c r="J8" s="4" t="str">
        <f>IFERROR(__xludf.DUMMYFUNCTION("""COMPUTED_VALUE""")," গাংনী")</f>
        <v> গাংনী</v>
      </c>
      <c r="K8" s="4" t="str">
        <f>IFERROR(__xludf.DUMMYFUNCTION("""COMPUTED_VALUE""")," মেহেরপুর""")</f>
        <v> মেহেরপুর"</v>
      </c>
    </row>
    <row r="9" ht="15.75" customHeight="1">
      <c r="A9" s="8" t="s">
        <v>2210</v>
      </c>
      <c r="B9" s="4">
        <f>IFERROR(__xludf.DUMMYFUNCTION("SPLIT(A9,"","")"),9.0)</f>
        <v>9</v>
      </c>
      <c r="C9" s="4" t="str">
        <f>IFERROR(__xludf.DUMMYFUNCTION("""COMPUTED_VALUE"""),"মোছাঃ রহিদা খাতুন")</f>
        <v>মোছাঃ রহিদা খাতুন</v>
      </c>
      <c r="D9" s="4">
        <f>IFERROR(__xludf.DUMMYFUNCTION("""COMPUTED_VALUE"""),5.70054377401E12)</f>
        <v>5700543774010</v>
      </c>
      <c r="E9" s="4" t="str">
        <f>IFERROR(__xludf.DUMMYFUNCTION("""COMPUTED_VALUE"""),"আব্দুল হামিদ")</f>
        <v>আব্দুল হামিদ</v>
      </c>
      <c r="F9" s="4" t="str">
        <f>IFERROR(__xludf.DUMMYFUNCTION("""COMPUTED_VALUE"""),"মোছাঃ জহুরা খাতুন")</f>
        <v>মোছাঃ জহুরা খাতুন</v>
      </c>
      <c r="G9" s="4" t="str">
        <f>IFERROR(__xludf.DUMMYFUNCTION("""COMPUTED_VALUE"""),"১২/১০/১৯৬৭")</f>
        <v>১২/১০/১৯৬৭</v>
      </c>
      <c r="H9" s="4" t="str">
        <f>IFERROR(__xludf.DUMMYFUNCTION("""COMPUTED_VALUE"""),"গৃহিনী")</f>
        <v>গৃহিনী</v>
      </c>
      <c r="I9" s="4" t="str">
        <f>IFERROR(__xludf.DUMMYFUNCTION("""COMPUTED_VALUE"""),"""মহিষাখোলা")</f>
        <v>"মহিষাখোলা</v>
      </c>
      <c r="J9" s="4" t="str">
        <f>IFERROR(__xludf.DUMMYFUNCTION("""COMPUTED_VALUE""")," গাংনী")</f>
        <v> গাংনী</v>
      </c>
      <c r="K9" s="4" t="str">
        <f>IFERROR(__xludf.DUMMYFUNCTION("""COMPUTED_VALUE""")," মেহেরপুর""")</f>
        <v> মেহেরপুর"</v>
      </c>
    </row>
    <row r="10" ht="15.75" customHeight="1">
      <c r="A10" s="8" t="s">
        <v>2211</v>
      </c>
      <c r="B10" s="4">
        <f>IFERROR(__xludf.DUMMYFUNCTION("SPLIT(A10,"","")"),10.0)</f>
        <v>10</v>
      </c>
      <c r="C10" s="4" t="str">
        <f>IFERROR(__xludf.DUMMYFUNCTION("""COMPUTED_VALUE"""),"মোছাঃ হামেনা খাতুন")</f>
        <v>মোছাঃ হামেনা খাতুন</v>
      </c>
      <c r="D10" s="4">
        <f>IFERROR(__xludf.DUMMYFUNCTION("""COMPUTED_VALUE"""),5.700543774012E12)</f>
        <v>5700543774012</v>
      </c>
      <c r="E10" s="4" t="str">
        <f>IFERROR(__xludf.DUMMYFUNCTION("""COMPUTED_VALUE"""),"মোঃ ইছাহক")</f>
        <v>মোঃ ইছাহক</v>
      </c>
      <c r="F10" s="4" t="str">
        <f>IFERROR(__xludf.DUMMYFUNCTION("""COMPUTED_VALUE"""),"মোছাঃ ফুরু")</f>
        <v>মোছাঃ ফুরু</v>
      </c>
      <c r="G10" s="4" t="str">
        <f>IFERROR(__xludf.DUMMYFUNCTION("""COMPUTED_VALUE"""),"৩০/১১/১৯৬৪")</f>
        <v>৩০/১১/১৯৬৪</v>
      </c>
      <c r="H10" s="4" t="str">
        <f>IFERROR(__xludf.DUMMYFUNCTION("""COMPUTED_VALUE"""),"গৃহিনী")</f>
        <v>গৃহিনী</v>
      </c>
      <c r="I10" s="4" t="str">
        <f>IFERROR(__xludf.DUMMYFUNCTION("""COMPUTED_VALUE"""),"""মহিষাখোলা")</f>
        <v>"মহিষাখোলা</v>
      </c>
      <c r="J10" s="4" t="str">
        <f>IFERROR(__xludf.DUMMYFUNCTION("""COMPUTED_VALUE""")," গাংনী")</f>
        <v> গাংনী</v>
      </c>
      <c r="K10" s="4" t="str">
        <f>IFERROR(__xludf.DUMMYFUNCTION("""COMPUTED_VALUE""")," মেহেরপুর""")</f>
        <v> মেহেরপুর"</v>
      </c>
    </row>
    <row r="11" ht="15.75" customHeight="1">
      <c r="A11" s="8" t="s">
        <v>2212</v>
      </c>
      <c r="B11" s="4">
        <f>IFERROR(__xludf.DUMMYFUNCTION("SPLIT(A11,"","")"),11.0)</f>
        <v>11</v>
      </c>
      <c r="C11" s="4" t="str">
        <f>IFERROR(__xludf.DUMMYFUNCTION("""COMPUTED_VALUE"""),"মোছাঃ রওশনারা")</f>
        <v>মোছাঃ রওশনারা</v>
      </c>
      <c r="D11" s="4">
        <f>IFERROR(__xludf.DUMMYFUNCTION("""COMPUTED_VALUE"""),5.700543774014E12)</f>
        <v>5700543774014</v>
      </c>
      <c r="E11" s="4" t="str">
        <f>IFERROR(__xludf.DUMMYFUNCTION("""COMPUTED_VALUE"""),"ইছাহক বিশ্বাস")</f>
        <v>ইছাহক বিশ্বাস</v>
      </c>
      <c r="F11" s="4" t="str">
        <f>IFERROR(__xludf.DUMMYFUNCTION("""COMPUTED_VALUE"""),"মোছাঃ জমেলা খাতুন")</f>
        <v>মোছাঃ জমেলা খাতুন</v>
      </c>
      <c r="G11" s="4" t="str">
        <f>IFERROR(__xludf.DUMMYFUNCTION("""COMPUTED_VALUE"""),"১২/০৫/১৯৬৫")</f>
        <v>১২/০৫/১৯৬৫</v>
      </c>
      <c r="H11" s="4" t="str">
        <f>IFERROR(__xludf.DUMMYFUNCTION("""COMPUTED_VALUE"""),"গৃহিনী")</f>
        <v>গৃহিনী</v>
      </c>
      <c r="I11" s="4" t="str">
        <f>IFERROR(__xludf.DUMMYFUNCTION("""COMPUTED_VALUE"""),"""মহিষাখোলা")</f>
        <v>"মহিষাখোলা</v>
      </c>
      <c r="J11" s="4" t="str">
        <f>IFERROR(__xludf.DUMMYFUNCTION("""COMPUTED_VALUE""")," গাংনী")</f>
        <v> গাংনী</v>
      </c>
      <c r="K11" s="4" t="str">
        <f>IFERROR(__xludf.DUMMYFUNCTION("""COMPUTED_VALUE""")," মেহেরপুর""")</f>
        <v> মেহেরপুর"</v>
      </c>
    </row>
    <row r="12" ht="15.75" customHeight="1">
      <c r="A12" s="8" t="s">
        <v>2213</v>
      </c>
      <c r="B12" s="4">
        <f>IFERROR(__xludf.DUMMYFUNCTION("SPLIT(A12,"","")"),12.0)</f>
        <v>12</v>
      </c>
      <c r="C12" s="4" t="str">
        <f>IFERROR(__xludf.DUMMYFUNCTION("""COMPUTED_VALUE"""),"মোছাঃ রেহেনা খাতুন")</f>
        <v>মোছাঃ রেহেনা খাতুন</v>
      </c>
      <c r="D12" s="4">
        <f>IFERROR(__xludf.DUMMYFUNCTION("""COMPUTED_VALUE"""),5.700543774015E12)</f>
        <v>5700543774015</v>
      </c>
      <c r="E12" s="4" t="str">
        <f>IFERROR(__xludf.DUMMYFUNCTION("""COMPUTED_VALUE"""),"ঈমান মন্ডল")</f>
        <v>ঈমান মন্ডল</v>
      </c>
      <c r="F12" s="4" t="str">
        <f>IFERROR(__xludf.DUMMYFUNCTION("""COMPUTED_VALUE"""),"মোছাঃ রাবিয়া")</f>
        <v>মোছাঃ রাবিয়া</v>
      </c>
      <c r="G12" s="4" t="str">
        <f>IFERROR(__xludf.DUMMYFUNCTION("""COMPUTED_VALUE"""),"১৫/১০/১৯৫৫")</f>
        <v>১৫/১০/১৯৫৫</v>
      </c>
      <c r="H12" s="4" t="str">
        <f>IFERROR(__xludf.DUMMYFUNCTION("""COMPUTED_VALUE"""),"গৃহিনী")</f>
        <v>গৃহিনী</v>
      </c>
      <c r="I12" s="4" t="str">
        <f>IFERROR(__xludf.DUMMYFUNCTION("""COMPUTED_VALUE"""),"""মহিষাখোলা")</f>
        <v>"মহিষাখোলা</v>
      </c>
      <c r="J12" s="4" t="str">
        <f>IFERROR(__xludf.DUMMYFUNCTION("""COMPUTED_VALUE""")," গাংনী")</f>
        <v> গাংনী</v>
      </c>
      <c r="K12" s="4" t="str">
        <f>IFERROR(__xludf.DUMMYFUNCTION("""COMPUTED_VALUE""")," মেহেরপুর""")</f>
        <v> মেহেরপুর"</v>
      </c>
    </row>
    <row r="13" ht="15.75" customHeight="1">
      <c r="A13" s="8" t="s">
        <v>2214</v>
      </c>
      <c r="B13" s="4">
        <f>IFERROR(__xludf.DUMMYFUNCTION("SPLIT(A13,"","")"),13.0)</f>
        <v>13</v>
      </c>
      <c r="C13" s="4" t="str">
        <f>IFERROR(__xludf.DUMMYFUNCTION("""COMPUTED_VALUE"""),"মোছাঃ পারুলা খাতুন")</f>
        <v>মোছাঃ পারুলা খাতুন</v>
      </c>
      <c r="D13" s="4">
        <f>IFERROR(__xludf.DUMMYFUNCTION("""COMPUTED_VALUE"""),5.700543774016E12)</f>
        <v>5700543774016</v>
      </c>
      <c r="E13" s="4" t="str">
        <f>IFERROR(__xludf.DUMMYFUNCTION("""COMPUTED_VALUE"""),"মোঃ মুক্তার আলী")</f>
        <v>মোঃ মুক্তার আলী</v>
      </c>
      <c r="F13" s="4" t="str">
        <f>IFERROR(__xludf.DUMMYFUNCTION("""COMPUTED_VALUE"""),"মোছাঃ আরেছা খাতুন")</f>
        <v>মোছাঃ আরেছা খাতুন</v>
      </c>
      <c r="G13" s="4" t="str">
        <f>IFERROR(__xludf.DUMMYFUNCTION("""COMPUTED_VALUE"""),"১২/০৬/১৯৮২")</f>
        <v>১২/০৬/১৯৮২</v>
      </c>
      <c r="H13" s="4" t="str">
        <f>IFERROR(__xludf.DUMMYFUNCTION("""COMPUTED_VALUE"""),"গৃহিনী")</f>
        <v>গৃহিনী</v>
      </c>
      <c r="I13" s="4" t="str">
        <f>IFERROR(__xludf.DUMMYFUNCTION("""COMPUTED_VALUE"""),"""মহিষাখোলা")</f>
        <v>"মহিষাখোলা</v>
      </c>
      <c r="J13" s="4" t="str">
        <f>IFERROR(__xludf.DUMMYFUNCTION("""COMPUTED_VALUE""")," গাংনী")</f>
        <v> গাংনী</v>
      </c>
      <c r="K13" s="4" t="str">
        <f>IFERROR(__xludf.DUMMYFUNCTION("""COMPUTED_VALUE""")," মেহেরপুর""")</f>
        <v> মেহেরপুর"</v>
      </c>
    </row>
    <row r="14" ht="15.75" customHeight="1">
      <c r="A14" s="8" t="s">
        <v>2215</v>
      </c>
      <c r="B14" s="4">
        <f>IFERROR(__xludf.DUMMYFUNCTION("SPLIT(A14,"","")"),14.0)</f>
        <v>14</v>
      </c>
      <c r="C14" s="4" t="str">
        <f>IFERROR(__xludf.DUMMYFUNCTION("""COMPUTED_VALUE"""),"মোছাঃ কোহিনুর বেগম")</f>
        <v>মোছাঃ কোহিনুর বেগম</v>
      </c>
      <c r="D14" s="4">
        <f>IFERROR(__xludf.DUMMYFUNCTION("""COMPUTED_VALUE"""),5.70054377402E12)</f>
        <v>5700543774020</v>
      </c>
      <c r="E14" s="4" t="str">
        <f>IFERROR(__xludf.DUMMYFUNCTION("""COMPUTED_VALUE"""),"রিয়াজ উদ্দীন")</f>
        <v>রিয়াজ উদ্দীন</v>
      </c>
      <c r="F14" s="4" t="str">
        <f>IFERROR(__xludf.DUMMYFUNCTION("""COMPUTED_VALUE"""),"রমেলা খাতুন")</f>
        <v>রমেলা খাতুন</v>
      </c>
      <c r="G14" s="4" t="str">
        <f>IFERROR(__xludf.DUMMYFUNCTION("""COMPUTED_VALUE"""),"১২/১০/১৯৬৭")</f>
        <v>১২/১০/১৯৬৭</v>
      </c>
      <c r="H14" s="4" t="str">
        <f>IFERROR(__xludf.DUMMYFUNCTION("""COMPUTED_VALUE"""),"গৃহিনী")</f>
        <v>গৃহিনী</v>
      </c>
      <c r="I14" s="4" t="str">
        <f>IFERROR(__xludf.DUMMYFUNCTION("""COMPUTED_VALUE"""),"""মহিষাখোলা")</f>
        <v>"মহিষাখোলা</v>
      </c>
      <c r="J14" s="4" t="str">
        <f>IFERROR(__xludf.DUMMYFUNCTION("""COMPUTED_VALUE""")," গাংনী")</f>
        <v> গাংনী</v>
      </c>
      <c r="K14" s="4" t="str">
        <f>IFERROR(__xludf.DUMMYFUNCTION("""COMPUTED_VALUE""")," মেহেরপুর""")</f>
        <v> মেহেরপুর"</v>
      </c>
    </row>
    <row r="15" ht="15.75" customHeight="1">
      <c r="A15" s="8" t="s">
        <v>2216</v>
      </c>
      <c r="B15" s="4">
        <f>IFERROR(__xludf.DUMMYFUNCTION("SPLIT(A15,"","")"),15.0)</f>
        <v>15</v>
      </c>
      <c r="C15" s="4" t="str">
        <f>IFERROR(__xludf.DUMMYFUNCTION("""COMPUTED_VALUE"""),"মোছাঃ রাশিদা খাতুন")</f>
        <v>মোছাঃ রাশিদা খাতুন</v>
      </c>
      <c r="D15" s="4">
        <f>IFERROR(__xludf.DUMMYFUNCTION("""COMPUTED_VALUE"""),5.700543774021E12)</f>
        <v>5700543774021</v>
      </c>
      <c r="E15" s="4" t="str">
        <f>IFERROR(__xludf.DUMMYFUNCTION("""COMPUTED_VALUE"""),"তাহাজুদ্দীন")</f>
        <v>তাহাজুদ্দীন</v>
      </c>
      <c r="F15" s="4" t="str">
        <f>IFERROR(__xludf.DUMMYFUNCTION("""COMPUTED_VALUE"""),"মোছাঃ বিবিজান")</f>
        <v>মোছাঃ বিবিজান</v>
      </c>
      <c r="G15" s="4" t="str">
        <f>IFERROR(__xludf.DUMMYFUNCTION("""COMPUTED_VALUE"""),"১২/১০/১৯৭৯")</f>
        <v>১২/১০/১৯৭৯</v>
      </c>
      <c r="H15" s="4" t="str">
        <f>IFERROR(__xludf.DUMMYFUNCTION("""COMPUTED_VALUE"""),"গৃহিনী")</f>
        <v>গৃহিনী</v>
      </c>
      <c r="I15" s="4" t="str">
        <f>IFERROR(__xludf.DUMMYFUNCTION("""COMPUTED_VALUE"""),"""মহিষাখোলা")</f>
        <v>"মহিষাখোলা</v>
      </c>
      <c r="J15" s="4" t="str">
        <f>IFERROR(__xludf.DUMMYFUNCTION("""COMPUTED_VALUE""")," গাংনী")</f>
        <v> গাংনী</v>
      </c>
      <c r="K15" s="4" t="str">
        <f>IFERROR(__xludf.DUMMYFUNCTION("""COMPUTED_VALUE""")," মেহেরপুর""")</f>
        <v> মেহেরপুর"</v>
      </c>
    </row>
    <row r="16" ht="15.75" customHeight="1">
      <c r="A16" s="8" t="s">
        <v>2217</v>
      </c>
      <c r="B16" s="4">
        <f>IFERROR(__xludf.DUMMYFUNCTION("SPLIT(A16,"","")"),16.0)</f>
        <v>16</v>
      </c>
      <c r="C16" s="4" t="str">
        <f>IFERROR(__xludf.DUMMYFUNCTION("""COMPUTED_VALUE"""),"মোছাঃ আনোয়ারা খাতুন")</f>
        <v>মোছাঃ আনোয়ারা খাতুন</v>
      </c>
      <c r="D16" s="4">
        <f>IFERROR(__xludf.DUMMYFUNCTION("""COMPUTED_VALUE"""),5.700543774023E12)</f>
        <v>5700543774023</v>
      </c>
      <c r="E16" s="4" t="str">
        <f>IFERROR(__xludf.DUMMYFUNCTION("""COMPUTED_VALUE"""),"আব্দুস সাত্তার")</f>
        <v>আব্দুস সাত্তার</v>
      </c>
      <c r="F16" s="4" t="str">
        <f>IFERROR(__xludf.DUMMYFUNCTION("""COMPUTED_VALUE"""),"মোছাঃ সাহেদা")</f>
        <v>মোছাঃ সাহেদা</v>
      </c>
      <c r="G16" s="4" t="str">
        <f>IFERROR(__xludf.DUMMYFUNCTION("""COMPUTED_VALUE"""),"১২/১০/১৯৭৭")</f>
        <v>১২/১০/১৯৭৭</v>
      </c>
      <c r="H16" s="4" t="str">
        <f>IFERROR(__xludf.DUMMYFUNCTION("""COMPUTED_VALUE"""),"গৃহিনী")</f>
        <v>গৃহিনী</v>
      </c>
      <c r="I16" s="4" t="str">
        <f>IFERROR(__xludf.DUMMYFUNCTION("""COMPUTED_VALUE"""),"""মহিষাখোলা")</f>
        <v>"মহিষাখোলা</v>
      </c>
      <c r="J16" s="4" t="str">
        <f>IFERROR(__xludf.DUMMYFUNCTION("""COMPUTED_VALUE""")," গাংনী")</f>
        <v> গাংনী</v>
      </c>
      <c r="K16" s="4" t="str">
        <f>IFERROR(__xludf.DUMMYFUNCTION("""COMPUTED_VALUE""")," মেহেরপুর""")</f>
        <v> মেহেরপুর"</v>
      </c>
    </row>
    <row r="17" ht="15.75" customHeight="1">
      <c r="A17" s="8" t="s">
        <v>2218</v>
      </c>
      <c r="B17" s="4">
        <f>IFERROR(__xludf.DUMMYFUNCTION("SPLIT(A17,"","")"),17.0)</f>
        <v>17</v>
      </c>
      <c r="C17" s="4" t="str">
        <f>IFERROR(__xludf.DUMMYFUNCTION("""COMPUTED_VALUE"""),"মোছাঃ আবেদা খাতুন")</f>
        <v>মোছাঃ আবেদা খাতুন</v>
      </c>
      <c r="D17" s="4">
        <f>IFERROR(__xludf.DUMMYFUNCTION("""COMPUTED_VALUE"""),5.700543774026E12)</f>
        <v>5700543774026</v>
      </c>
      <c r="E17" s="4" t="str">
        <f>IFERROR(__xludf.DUMMYFUNCTION("""COMPUTED_VALUE"""),"নূর বকস")</f>
        <v>নূর বকস</v>
      </c>
      <c r="F17" s="4" t="str">
        <f>IFERROR(__xludf.DUMMYFUNCTION("""COMPUTED_VALUE"""),"সোকিনা খাতুন")</f>
        <v>সোকিনা খাতুন</v>
      </c>
      <c r="G17" s="4" t="str">
        <f>IFERROR(__xludf.DUMMYFUNCTION("""COMPUTED_VALUE"""),"১২/১০/১৯৭৯")</f>
        <v>১২/১০/১৯৭৯</v>
      </c>
      <c r="H17" s="4" t="str">
        <f>IFERROR(__xludf.DUMMYFUNCTION("""COMPUTED_VALUE"""),"গৃহিনী")</f>
        <v>গৃহিনী</v>
      </c>
      <c r="I17" s="4" t="str">
        <f>IFERROR(__xludf.DUMMYFUNCTION("""COMPUTED_VALUE"""),"""মহিষাখোলা")</f>
        <v>"মহিষাখোলা</v>
      </c>
      <c r="J17" s="4" t="str">
        <f>IFERROR(__xludf.DUMMYFUNCTION("""COMPUTED_VALUE""")," গাংনী")</f>
        <v> গাংনী</v>
      </c>
      <c r="K17" s="4" t="str">
        <f>IFERROR(__xludf.DUMMYFUNCTION("""COMPUTED_VALUE""")," মেহেরপুর""")</f>
        <v> মেহেরপুর"</v>
      </c>
    </row>
    <row r="18" ht="15.75" customHeight="1">
      <c r="A18" s="8" t="s">
        <v>2219</v>
      </c>
      <c r="B18" s="4">
        <f>IFERROR(__xludf.DUMMYFUNCTION("SPLIT(A18,"","")"),18.0)</f>
        <v>18</v>
      </c>
      <c r="C18" s="4" t="str">
        <f>IFERROR(__xludf.DUMMYFUNCTION("""COMPUTED_VALUE"""),"মোছাঃ জাহানারা খাতুন")</f>
        <v>মোছাঃ জাহানারা খাতুন</v>
      </c>
      <c r="D18" s="4">
        <f>IFERROR(__xludf.DUMMYFUNCTION("""COMPUTED_VALUE"""),5.700543774027E12)</f>
        <v>5700543774027</v>
      </c>
      <c r="E18" s="4" t="str">
        <f>IFERROR(__xludf.DUMMYFUNCTION("""COMPUTED_VALUE"""),"মোঃ নজিমুদ্দীন")</f>
        <v>মোঃ নজিমুদ্দীন</v>
      </c>
      <c r="F18" s="4" t="str">
        <f>IFERROR(__xludf.DUMMYFUNCTION("""COMPUTED_VALUE"""),"মোছাঃ সফুরা খাতুন")</f>
        <v>মোছাঃ সফুরা খাতুন</v>
      </c>
      <c r="G18" s="4" t="str">
        <f>IFERROR(__xludf.DUMMYFUNCTION("""COMPUTED_VALUE"""),"১২/১০/১৯৮৫")</f>
        <v>১২/১০/১৯৮৫</v>
      </c>
      <c r="H18" s="4" t="str">
        <f>IFERROR(__xludf.DUMMYFUNCTION("""COMPUTED_VALUE"""),"গৃহিনী")</f>
        <v>গৃহিনী</v>
      </c>
      <c r="I18" s="4" t="str">
        <f>IFERROR(__xludf.DUMMYFUNCTION("""COMPUTED_VALUE"""),"""মহিষাখোলা")</f>
        <v>"মহিষাখোলা</v>
      </c>
      <c r="J18" s="4" t="str">
        <f>IFERROR(__xludf.DUMMYFUNCTION("""COMPUTED_VALUE""")," গাংনী")</f>
        <v> গাংনী</v>
      </c>
      <c r="K18" s="4" t="str">
        <f>IFERROR(__xludf.DUMMYFUNCTION("""COMPUTED_VALUE""")," মেহেরপুর""")</f>
        <v> মেহেরপুর"</v>
      </c>
    </row>
    <row r="19" ht="15.75" customHeight="1">
      <c r="A19" s="8" t="s">
        <v>2220</v>
      </c>
      <c r="B19" s="4">
        <f>IFERROR(__xludf.DUMMYFUNCTION("SPLIT(A19,"","")"),19.0)</f>
        <v>19</v>
      </c>
      <c r="C19" s="4" t="str">
        <f>IFERROR(__xludf.DUMMYFUNCTION("""COMPUTED_VALUE"""),"মোছাঃ আছিয়া খাতুন")</f>
        <v>মোছাঃ আছিয়া খাতুন</v>
      </c>
      <c r="D19" s="4">
        <f>IFERROR(__xludf.DUMMYFUNCTION("""COMPUTED_VALUE"""),5.70054377403E12)</f>
        <v>5700543774030</v>
      </c>
      <c r="E19" s="4" t="str">
        <f>IFERROR(__xludf.DUMMYFUNCTION("""COMPUTED_VALUE"""),"মোঃ আব্দুল রশিদ")</f>
        <v>মোঃ আব্দুল রশিদ</v>
      </c>
      <c r="F19" s="4" t="str">
        <f>IFERROR(__xludf.DUMMYFUNCTION("""COMPUTED_VALUE"""),"মোছাঃ মমেনা খাতুন")</f>
        <v>মোছাঃ মমেনা খাতুন</v>
      </c>
      <c r="G19" s="4" t="str">
        <f>IFERROR(__xludf.DUMMYFUNCTION("""COMPUTED_VALUE"""),"১২/০৫/১৯৮৯")</f>
        <v>১২/০৫/১৯৮৯</v>
      </c>
      <c r="H19" s="4" t="str">
        <f>IFERROR(__xludf.DUMMYFUNCTION("""COMPUTED_VALUE"""),"গৃহিনী")</f>
        <v>গৃহিনী</v>
      </c>
      <c r="I19" s="4" t="str">
        <f>IFERROR(__xludf.DUMMYFUNCTION("""COMPUTED_VALUE"""),"""মহিষাখোলা")</f>
        <v>"মহিষাখোলা</v>
      </c>
      <c r="J19" s="4" t="str">
        <f>IFERROR(__xludf.DUMMYFUNCTION("""COMPUTED_VALUE""")," গাংনী")</f>
        <v> গাংনী</v>
      </c>
      <c r="K19" s="4" t="str">
        <f>IFERROR(__xludf.DUMMYFUNCTION("""COMPUTED_VALUE""")," মেহেরপুর""")</f>
        <v> মেহেরপুর"</v>
      </c>
    </row>
    <row r="20" ht="15.75" customHeight="1">
      <c r="A20" s="8" t="s">
        <v>2221</v>
      </c>
      <c r="B20" s="4">
        <f>IFERROR(__xludf.DUMMYFUNCTION("SPLIT(A20,"","")"),20.0)</f>
        <v>20</v>
      </c>
      <c r="C20" s="4" t="str">
        <f>IFERROR(__xludf.DUMMYFUNCTION("""COMPUTED_VALUE"""),"মোছাঃ আলিয়া খাতুন")</f>
        <v>মোছাঃ আলিয়া খাতুন</v>
      </c>
      <c r="D20" s="4">
        <f>IFERROR(__xludf.DUMMYFUNCTION("""COMPUTED_VALUE"""),5.700543774031E12)</f>
        <v>5700543774031</v>
      </c>
      <c r="E20" s="4" t="str">
        <f>IFERROR(__xludf.DUMMYFUNCTION("""COMPUTED_VALUE"""),"আবুল কাশেম")</f>
        <v>আবুল কাশেম</v>
      </c>
      <c r="F20" s="4" t="str">
        <f>IFERROR(__xludf.DUMMYFUNCTION("""COMPUTED_VALUE"""),"আবেদা")</f>
        <v>আবেদা</v>
      </c>
      <c r="G20" s="4" t="str">
        <f>IFERROR(__xludf.DUMMYFUNCTION("""COMPUTED_VALUE"""),"১০/১০/১৯৬২")</f>
        <v>১০/১০/১৯৬২</v>
      </c>
      <c r="H20" s="4" t="str">
        <f>IFERROR(__xludf.DUMMYFUNCTION("""COMPUTED_VALUE"""),"গৃহিনী")</f>
        <v>গৃহিনী</v>
      </c>
      <c r="I20" s="4" t="str">
        <f>IFERROR(__xludf.DUMMYFUNCTION("""COMPUTED_VALUE"""),"""মহিষাখোলা")</f>
        <v>"মহিষাখোলা</v>
      </c>
      <c r="J20" s="4" t="str">
        <f>IFERROR(__xludf.DUMMYFUNCTION("""COMPUTED_VALUE""")," গাংনী")</f>
        <v> গাংনী</v>
      </c>
      <c r="K20" s="4" t="str">
        <f>IFERROR(__xludf.DUMMYFUNCTION("""COMPUTED_VALUE""")," মেহেরপুর""")</f>
        <v> মেহেরপুর"</v>
      </c>
    </row>
    <row r="21" ht="15.75" customHeight="1">
      <c r="A21" s="8" t="s">
        <v>2222</v>
      </c>
      <c r="B21" s="4">
        <f>IFERROR(__xludf.DUMMYFUNCTION("SPLIT(A21,"","")"),21.0)</f>
        <v>21</v>
      </c>
      <c r="C21" s="4" t="str">
        <f>IFERROR(__xludf.DUMMYFUNCTION("""COMPUTED_VALUE"""),"মোছাঃ আম্বিয়া খাতুন")</f>
        <v>মোছাঃ আম্বিয়া খাতুন</v>
      </c>
      <c r="D21" s="4">
        <f>IFERROR(__xludf.DUMMYFUNCTION("""COMPUTED_VALUE"""),5.700543774032E12)</f>
        <v>5700543774032</v>
      </c>
      <c r="E21" s="4" t="str">
        <f>IFERROR(__xludf.DUMMYFUNCTION("""COMPUTED_VALUE"""),"মোঃ হাইয়াত")</f>
        <v>মোঃ হাইয়াত</v>
      </c>
      <c r="F21" s="4" t="str">
        <f>IFERROR(__xludf.DUMMYFUNCTION("""COMPUTED_VALUE"""),"মোছাঃ সুরাতন")</f>
        <v>মোছাঃ সুরাতন</v>
      </c>
      <c r="G21" s="4" t="str">
        <f>IFERROR(__xludf.DUMMYFUNCTION("""COMPUTED_VALUE"""),"১০/১০/১৯৫২")</f>
        <v>১০/১০/১৯৫২</v>
      </c>
      <c r="H21" s="4" t="str">
        <f>IFERROR(__xludf.DUMMYFUNCTION("""COMPUTED_VALUE"""),"গৃহিনী")</f>
        <v>গৃহিনী</v>
      </c>
      <c r="I21" s="4" t="str">
        <f>IFERROR(__xludf.DUMMYFUNCTION("""COMPUTED_VALUE"""),"""মহিষাখোলা")</f>
        <v>"মহিষাখোলা</v>
      </c>
      <c r="J21" s="4" t="str">
        <f>IFERROR(__xludf.DUMMYFUNCTION("""COMPUTED_VALUE""")," গাংনী")</f>
        <v> গাংনী</v>
      </c>
      <c r="K21" s="4" t="str">
        <f>IFERROR(__xludf.DUMMYFUNCTION("""COMPUTED_VALUE""")," মেহেরপুর""")</f>
        <v> মেহেরপুর"</v>
      </c>
    </row>
    <row r="22" ht="15.75" customHeight="1">
      <c r="A22" s="8" t="s">
        <v>2223</v>
      </c>
      <c r="B22" s="4">
        <f>IFERROR(__xludf.DUMMYFUNCTION("SPLIT(A22,"","")"),23.0)</f>
        <v>23</v>
      </c>
      <c r="C22" s="4" t="str">
        <f>IFERROR(__xludf.DUMMYFUNCTION("""COMPUTED_VALUE"""),"মোছাঃ তহুরা খাতুন")</f>
        <v>মোছাঃ তহুরা খাতুন</v>
      </c>
      <c r="D22" s="4">
        <f>IFERROR(__xludf.DUMMYFUNCTION("""COMPUTED_VALUE"""),5.700543774034E12)</f>
        <v>5700543774034</v>
      </c>
      <c r="E22" s="4" t="str">
        <f>IFERROR(__xludf.DUMMYFUNCTION("""COMPUTED_VALUE"""),"মোঃ হযরত আলী")</f>
        <v>মোঃ হযরত আলী</v>
      </c>
      <c r="F22" s="4" t="str">
        <f>IFERROR(__xludf.DUMMYFUNCTION("""COMPUTED_VALUE"""),"মোছাঃ কহিনুর")</f>
        <v>মোছাঃ কহিনুর</v>
      </c>
      <c r="G22" s="4" t="str">
        <f>IFERROR(__xludf.DUMMYFUNCTION("""COMPUTED_VALUE"""),"১২/১০/১৯৭৭")</f>
        <v>১২/১০/১৯৭৭</v>
      </c>
      <c r="H22" s="4" t="str">
        <f>IFERROR(__xludf.DUMMYFUNCTION("""COMPUTED_VALUE"""),"গৃহিনী")</f>
        <v>গৃহিনী</v>
      </c>
      <c r="I22" s="4" t="str">
        <f>IFERROR(__xludf.DUMMYFUNCTION("""COMPUTED_VALUE"""),"""মহিষাখোলা")</f>
        <v>"মহিষাখোলা</v>
      </c>
      <c r="J22" s="4" t="str">
        <f>IFERROR(__xludf.DUMMYFUNCTION("""COMPUTED_VALUE""")," গাংনী")</f>
        <v> গাংনী</v>
      </c>
      <c r="K22" s="4" t="str">
        <f>IFERROR(__xludf.DUMMYFUNCTION("""COMPUTED_VALUE""")," মেহেরপুর""")</f>
        <v> মেহেরপুর"</v>
      </c>
    </row>
    <row r="23" ht="15.75" customHeight="1">
      <c r="A23" s="8" t="s">
        <v>2224</v>
      </c>
      <c r="B23" s="4">
        <f>IFERROR(__xludf.DUMMYFUNCTION("SPLIT(A23,"","")"),24.0)</f>
        <v>24</v>
      </c>
      <c r="C23" s="4" t="str">
        <f>IFERROR(__xludf.DUMMYFUNCTION("""COMPUTED_VALUE"""),"মোছাঃ সানিয়া খাতুন")</f>
        <v>মোছাঃ সানিয়া খাতুন</v>
      </c>
      <c r="D23" s="4">
        <f>IFERROR(__xludf.DUMMYFUNCTION("""COMPUTED_VALUE"""),5.700543774035E12)</f>
        <v>5700543774035</v>
      </c>
      <c r="E23" s="4" t="str">
        <f>IFERROR(__xludf.DUMMYFUNCTION("""COMPUTED_VALUE"""),"মোঃ শামসের")</f>
        <v>মোঃ শামসের</v>
      </c>
      <c r="F23" s="4" t="str">
        <f>IFERROR(__xludf.DUMMYFUNCTION("""COMPUTED_VALUE"""),"মোছাঃ ময়না খাতুন")</f>
        <v>মোছাঃ ময়না খাতুন</v>
      </c>
      <c r="G23" s="4" t="str">
        <f>IFERROR(__xludf.DUMMYFUNCTION("""COMPUTED_VALUE"""),"১০/১০/১৯৮২")</f>
        <v>১০/১০/১৯৮২</v>
      </c>
      <c r="H23" s="4" t="str">
        <f>IFERROR(__xludf.DUMMYFUNCTION("""COMPUTED_VALUE"""),"গৃহিনী")</f>
        <v>গৃহিনী</v>
      </c>
      <c r="I23" s="4" t="str">
        <f>IFERROR(__xludf.DUMMYFUNCTION("""COMPUTED_VALUE"""),"""মহিষাখোলা")</f>
        <v>"মহিষাখোলা</v>
      </c>
      <c r="J23" s="4" t="str">
        <f>IFERROR(__xludf.DUMMYFUNCTION("""COMPUTED_VALUE""")," গাংনী")</f>
        <v> গাংনী</v>
      </c>
      <c r="K23" s="4" t="str">
        <f>IFERROR(__xludf.DUMMYFUNCTION("""COMPUTED_VALUE""")," মেহেরপুর""")</f>
        <v> মেহেরপুর"</v>
      </c>
    </row>
    <row r="24" ht="15.75" customHeight="1">
      <c r="A24" s="8" t="s">
        <v>2225</v>
      </c>
      <c r="B24" s="4">
        <f>IFERROR(__xludf.DUMMYFUNCTION("SPLIT(A24,"","")"),25.0)</f>
        <v>25</v>
      </c>
      <c r="C24" s="4" t="str">
        <f>IFERROR(__xludf.DUMMYFUNCTION("""COMPUTED_VALUE"""),"মোছাঃ কহিনুর খাতুন")</f>
        <v>মোছাঃ কহিনুর খাতুন</v>
      </c>
      <c r="D24" s="4">
        <f>IFERROR(__xludf.DUMMYFUNCTION("""COMPUTED_VALUE"""),5.700543774036E12)</f>
        <v>5700543774036</v>
      </c>
      <c r="E24" s="4" t="str">
        <f>IFERROR(__xludf.DUMMYFUNCTION("""COMPUTED_VALUE"""),"মোঃ আক্তার আলী")</f>
        <v>মোঃ আক্তার আলী</v>
      </c>
      <c r="F24" s="4" t="str">
        <f>IFERROR(__xludf.DUMMYFUNCTION("""COMPUTED_VALUE"""),"মোছাঃ ফিরোজা খাতুন")</f>
        <v>মোছাঃ ফিরোজা খাতুন</v>
      </c>
      <c r="G24" s="4" t="str">
        <f>IFERROR(__xludf.DUMMYFUNCTION("""COMPUTED_VALUE"""),"১২/১০/১৯৮৭")</f>
        <v>১২/১০/১৯৮৭</v>
      </c>
      <c r="H24" s="4" t="str">
        <f>IFERROR(__xludf.DUMMYFUNCTION("""COMPUTED_VALUE"""),"গৃহিনী")</f>
        <v>গৃহিনী</v>
      </c>
      <c r="I24" s="4" t="str">
        <f>IFERROR(__xludf.DUMMYFUNCTION("""COMPUTED_VALUE"""),"""মহিষাখোলা")</f>
        <v>"মহিষাখোলা</v>
      </c>
      <c r="J24" s="4" t="str">
        <f>IFERROR(__xludf.DUMMYFUNCTION("""COMPUTED_VALUE""")," গাংনী")</f>
        <v> গাংনী</v>
      </c>
      <c r="K24" s="4" t="str">
        <f>IFERROR(__xludf.DUMMYFUNCTION("""COMPUTED_VALUE""")," মেহেরপুর""")</f>
        <v> মেহেরপুর"</v>
      </c>
    </row>
    <row r="25" ht="15.75" customHeight="1">
      <c r="A25" s="8" t="s">
        <v>2226</v>
      </c>
      <c r="B25" s="4">
        <f>IFERROR(__xludf.DUMMYFUNCTION("SPLIT(A25,"","")"),26.0)</f>
        <v>26</v>
      </c>
      <c r="C25" s="4" t="str">
        <f>IFERROR(__xludf.DUMMYFUNCTION("""COMPUTED_VALUE"""),"মোছাঃ জাহানারা খাতুন")</f>
        <v>মোছাঃ জাহানারা খাতুন</v>
      </c>
      <c r="D25" s="4">
        <f>IFERROR(__xludf.DUMMYFUNCTION("""COMPUTED_VALUE"""),5.700543774037E12)</f>
        <v>5700543774037</v>
      </c>
      <c r="E25" s="4" t="str">
        <f>IFERROR(__xludf.DUMMYFUNCTION("""COMPUTED_VALUE"""),"মোঃ হিপাজ উদ্দীন")</f>
        <v>মোঃ হিপাজ উদ্দীন</v>
      </c>
      <c r="F25" s="4" t="str">
        <f>IFERROR(__xludf.DUMMYFUNCTION("""COMPUTED_VALUE"""),"মোছাঃ নয়নন নেছা")</f>
        <v>মোছাঃ নয়নন নেছা</v>
      </c>
      <c r="G25" s="4" t="str">
        <f>IFERROR(__xludf.DUMMYFUNCTION("""COMPUTED_VALUE"""),"১২/০৫/১৯৬৭")</f>
        <v>১২/০৫/১৯৬৭</v>
      </c>
      <c r="H25" s="4" t="str">
        <f>IFERROR(__xludf.DUMMYFUNCTION("""COMPUTED_VALUE"""),"গৃহিনী")</f>
        <v>গৃহিনী</v>
      </c>
      <c r="I25" s="4" t="str">
        <f>IFERROR(__xludf.DUMMYFUNCTION("""COMPUTED_VALUE"""),"""মহিষাখোলা")</f>
        <v>"মহিষাখোলা</v>
      </c>
      <c r="J25" s="4" t="str">
        <f>IFERROR(__xludf.DUMMYFUNCTION("""COMPUTED_VALUE""")," গাংনী")</f>
        <v> গাংনী</v>
      </c>
      <c r="K25" s="4" t="str">
        <f>IFERROR(__xludf.DUMMYFUNCTION("""COMPUTED_VALUE""")," মেহেরপুর""")</f>
        <v> মেহেরপুর"</v>
      </c>
    </row>
    <row r="26" ht="15.75" customHeight="1">
      <c r="A26" s="8" t="s">
        <v>2227</v>
      </c>
      <c r="B26" s="4">
        <f>IFERROR(__xludf.DUMMYFUNCTION("SPLIT(A26,"","")"),27.0)</f>
        <v>27</v>
      </c>
      <c r="C26" s="4" t="str">
        <f>IFERROR(__xludf.DUMMYFUNCTION("""COMPUTED_VALUE"""),"মোছাঃ জবেদা খাতুন")</f>
        <v>মোছাঃ জবেদা খাতুন</v>
      </c>
      <c r="D26" s="4">
        <f>IFERROR(__xludf.DUMMYFUNCTION("""COMPUTED_VALUE"""),5.700543774038E12)</f>
        <v>5700543774038</v>
      </c>
      <c r="E26" s="4" t="str">
        <f>IFERROR(__xludf.DUMMYFUNCTION("""COMPUTED_VALUE"""),"দুঃখী মন্ডল")</f>
        <v>দুঃখী মন্ডল</v>
      </c>
      <c r="F26" s="4" t="str">
        <f>IFERROR(__xludf.DUMMYFUNCTION("""COMPUTED_VALUE"""),"মোছাঃ সারা খাতুন")</f>
        <v>মোছাঃ সারা খাতুন</v>
      </c>
      <c r="G26" s="4" t="str">
        <f>IFERROR(__xludf.DUMMYFUNCTION("""COMPUTED_VALUE"""),"১২/১০/১৯৮২")</f>
        <v>১২/১০/১৯৮২</v>
      </c>
      <c r="H26" s="4" t="str">
        <f>IFERROR(__xludf.DUMMYFUNCTION("""COMPUTED_VALUE"""),"গৃহিনী")</f>
        <v>গৃহিনী</v>
      </c>
      <c r="I26" s="4" t="str">
        <f>IFERROR(__xludf.DUMMYFUNCTION("""COMPUTED_VALUE"""),"""মহিষাখোলা")</f>
        <v>"মহিষাখোলা</v>
      </c>
      <c r="J26" s="4" t="str">
        <f>IFERROR(__xludf.DUMMYFUNCTION("""COMPUTED_VALUE""")," গাংনী")</f>
        <v> গাংনী</v>
      </c>
      <c r="K26" s="4" t="str">
        <f>IFERROR(__xludf.DUMMYFUNCTION("""COMPUTED_VALUE""")," মেহেরপুর""")</f>
        <v> মেহেরপুর"</v>
      </c>
    </row>
    <row r="27" ht="15.75" customHeight="1">
      <c r="A27" s="8" t="s">
        <v>2228</v>
      </c>
      <c r="B27" s="4">
        <f>IFERROR(__xludf.DUMMYFUNCTION("SPLIT(A27,"","")"),28.0)</f>
        <v>28</v>
      </c>
      <c r="C27" s="4" t="str">
        <f>IFERROR(__xludf.DUMMYFUNCTION("""COMPUTED_VALUE"""),"মোছাঃ বেদানা খাতুন")</f>
        <v>মোছাঃ বেদানা খাতুন</v>
      </c>
      <c r="D27" s="4">
        <f>IFERROR(__xludf.DUMMYFUNCTION("""COMPUTED_VALUE"""),5.700543774039E12)</f>
        <v>5700543774039</v>
      </c>
      <c r="E27" s="4" t="str">
        <f>IFERROR(__xludf.DUMMYFUNCTION("""COMPUTED_VALUE"""),"মোঃ শহিদুল")</f>
        <v>মোঃ শহিদুল</v>
      </c>
      <c r="F27" s="4" t="str">
        <f>IFERROR(__xludf.DUMMYFUNCTION("""COMPUTED_VALUE"""),"মোছাঃ আকলিমা")</f>
        <v>মোছাঃ আকলিমা</v>
      </c>
      <c r="G27" s="4" t="str">
        <f>IFERROR(__xludf.DUMMYFUNCTION("""COMPUTED_VALUE"""),"১২/১০/১৯৮৪")</f>
        <v>১২/১০/১৯৮৪</v>
      </c>
      <c r="H27" s="4" t="str">
        <f>IFERROR(__xludf.DUMMYFUNCTION("""COMPUTED_VALUE"""),"গৃহিনী")</f>
        <v>গৃহিনী</v>
      </c>
      <c r="I27" s="4" t="str">
        <f>IFERROR(__xludf.DUMMYFUNCTION("""COMPUTED_VALUE"""),"""মহিষাখোলা")</f>
        <v>"মহিষাখোলা</v>
      </c>
      <c r="J27" s="4" t="str">
        <f>IFERROR(__xludf.DUMMYFUNCTION("""COMPUTED_VALUE""")," গাংনী")</f>
        <v> গাংনী</v>
      </c>
      <c r="K27" s="4" t="str">
        <f>IFERROR(__xludf.DUMMYFUNCTION("""COMPUTED_VALUE""")," মেহেরপুর""")</f>
        <v> মেহেরপুর"</v>
      </c>
    </row>
    <row r="28" ht="15.75" customHeight="1">
      <c r="A28" s="8" t="s">
        <v>2229</v>
      </c>
      <c r="B28" s="4">
        <f>IFERROR(__xludf.DUMMYFUNCTION("SPLIT(A28,"","")"),29.0)</f>
        <v>29</v>
      </c>
      <c r="C28" s="4" t="str">
        <f>IFERROR(__xludf.DUMMYFUNCTION("""COMPUTED_VALUE"""),"মোছাঃ হালিমা খাতুন")</f>
        <v>মোছাঃ হালিমা খাতুন</v>
      </c>
      <c r="D28" s="4">
        <f>IFERROR(__xludf.DUMMYFUNCTION("""COMPUTED_VALUE"""),5.70054377404E12)</f>
        <v>5700543774040</v>
      </c>
      <c r="E28" s="4" t="str">
        <f>IFERROR(__xludf.DUMMYFUNCTION("""COMPUTED_VALUE"""),"আঃ কাদের")</f>
        <v>আঃ কাদের</v>
      </c>
      <c r="F28" s="4" t="str">
        <f>IFERROR(__xludf.DUMMYFUNCTION("""COMPUTED_VALUE"""),"মোছাঃ মাহিরন")</f>
        <v>মোছাঃ মাহিরন</v>
      </c>
      <c r="G28" s="4" t="str">
        <f>IFERROR(__xludf.DUMMYFUNCTION("""COMPUTED_VALUE"""),"১০/১০/১৯৭২")</f>
        <v>১০/১০/১৯৭২</v>
      </c>
      <c r="H28" s="4" t="str">
        <f>IFERROR(__xludf.DUMMYFUNCTION("""COMPUTED_VALUE"""),"গৃহিনী")</f>
        <v>গৃহিনী</v>
      </c>
      <c r="I28" s="4" t="str">
        <f>IFERROR(__xludf.DUMMYFUNCTION("""COMPUTED_VALUE"""),"""মহিষাখোলা")</f>
        <v>"মহিষাখোলা</v>
      </c>
      <c r="J28" s="4" t="str">
        <f>IFERROR(__xludf.DUMMYFUNCTION("""COMPUTED_VALUE""")," গাংনী")</f>
        <v> গাংনী</v>
      </c>
      <c r="K28" s="4" t="str">
        <f>IFERROR(__xludf.DUMMYFUNCTION("""COMPUTED_VALUE""")," মেহেরপুর""")</f>
        <v> মেহেরপুর"</v>
      </c>
    </row>
    <row r="29" ht="15.75" customHeight="1">
      <c r="A29" s="8" t="s">
        <v>2230</v>
      </c>
      <c r="B29" s="4">
        <f>IFERROR(__xludf.DUMMYFUNCTION("SPLIT(A29,"","")"),30.0)</f>
        <v>30</v>
      </c>
      <c r="C29" s="4" t="str">
        <f>IFERROR(__xludf.DUMMYFUNCTION("""COMPUTED_VALUE"""),"মোছাঃ আমেনা খাতুন")</f>
        <v>মোছাঃ আমেনা খাতুন</v>
      </c>
      <c r="D29" s="4">
        <f>IFERROR(__xludf.DUMMYFUNCTION("""COMPUTED_VALUE"""),5.70054377405E12)</f>
        <v>5700543774050</v>
      </c>
      <c r="E29" s="4" t="str">
        <f>IFERROR(__xludf.DUMMYFUNCTION("""COMPUTED_VALUE"""),"মোঃ ফয়জদ্দীন")</f>
        <v>মোঃ ফয়জদ্দীন</v>
      </c>
      <c r="F29" s="4" t="str">
        <f>IFERROR(__xludf.DUMMYFUNCTION("""COMPUTED_VALUE"""),"মোছাঃ হাসেনা")</f>
        <v>মোছাঃ হাসেনা</v>
      </c>
      <c r="G29" s="4" t="str">
        <f>IFERROR(__xludf.DUMMYFUNCTION("""COMPUTED_VALUE"""),"১০/০৮/১৯৭১")</f>
        <v>১০/০৮/১৯৭১</v>
      </c>
      <c r="H29" s="4" t="str">
        <f>IFERROR(__xludf.DUMMYFUNCTION("""COMPUTED_VALUE"""),"গৃহিনী")</f>
        <v>গৃহিনী</v>
      </c>
      <c r="I29" s="4" t="str">
        <f>IFERROR(__xludf.DUMMYFUNCTION("""COMPUTED_VALUE"""),"""মহিষাখোলা")</f>
        <v>"মহিষাখোলা</v>
      </c>
      <c r="J29" s="4" t="str">
        <f>IFERROR(__xludf.DUMMYFUNCTION("""COMPUTED_VALUE""")," গাংনী")</f>
        <v> গাংনী</v>
      </c>
      <c r="K29" s="4" t="str">
        <f>IFERROR(__xludf.DUMMYFUNCTION("""COMPUTED_VALUE""")," মেহেরপুর""")</f>
        <v> মেহেরপুর"</v>
      </c>
    </row>
    <row r="30" ht="15.75" customHeight="1">
      <c r="A30" s="8" t="s">
        <v>2231</v>
      </c>
      <c r="B30" s="4">
        <f>IFERROR(__xludf.DUMMYFUNCTION("SPLIT(A30,"","")"),31.0)</f>
        <v>31</v>
      </c>
      <c r="C30" s="4" t="str">
        <f>IFERROR(__xludf.DUMMYFUNCTION("""COMPUTED_VALUE"""),"মোছাঃ পান্না খাতুন")</f>
        <v>মোছাঃ পান্না খাতুন</v>
      </c>
      <c r="D30" s="4">
        <f>IFERROR(__xludf.DUMMYFUNCTION("""COMPUTED_VALUE"""),5.700543774055E12)</f>
        <v>5700543774055</v>
      </c>
      <c r="E30" s="4" t="str">
        <f>IFERROR(__xludf.DUMMYFUNCTION("""COMPUTED_VALUE"""),"মোঃ আরসাফ মন্ডল")</f>
        <v>মোঃ আরসাফ মন্ডল</v>
      </c>
      <c r="F30" s="4" t="str">
        <f>IFERROR(__xludf.DUMMYFUNCTION("""COMPUTED_VALUE"""),"মোছাঃ সুরাতন")</f>
        <v>মোছাঃ সুরাতন</v>
      </c>
      <c r="G30" s="4" t="str">
        <f>IFERROR(__xludf.DUMMYFUNCTION("""COMPUTED_VALUE"""),"১০/০৪/১৯৮১")</f>
        <v>১০/০৪/১৯৮১</v>
      </c>
      <c r="H30" s="4" t="str">
        <f>IFERROR(__xludf.DUMMYFUNCTION("""COMPUTED_VALUE"""),"গৃহিনী")</f>
        <v>গৃহিনী</v>
      </c>
      <c r="I30" s="4" t="str">
        <f>IFERROR(__xludf.DUMMYFUNCTION("""COMPUTED_VALUE"""),"""মহিষাখোলা")</f>
        <v>"মহিষাখোলা</v>
      </c>
      <c r="J30" s="4" t="str">
        <f>IFERROR(__xludf.DUMMYFUNCTION("""COMPUTED_VALUE""")," গাংনী")</f>
        <v> গাংনী</v>
      </c>
      <c r="K30" s="4" t="str">
        <f>IFERROR(__xludf.DUMMYFUNCTION("""COMPUTED_VALUE""")," মেহেরপুর""")</f>
        <v> মেহেরপুর"</v>
      </c>
    </row>
    <row r="31" ht="15.75" customHeight="1">
      <c r="A31" s="8" t="s">
        <v>2232</v>
      </c>
      <c r="B31" s="4">
        <f>IFERROR(__xludf.DUMMYFUNCTION("SPLIT(A31,"","")"),32.0)</f>
        <v>32</v>
      </c>
      <c r="C31" s="4" t="str">
        <f>IFERROR(__xludf.DUMMYFUNCTION("""COMPUTED_VALUE"""),"মোছাঃ বেদেনা খাতুন")</f>
        <v>মোছাঃ বেদেনা খাতুন</v>
      </c>
      <c r="D31" s="4">
        <f>IFERROR(__xludf.DUMMYFUNCTION("""COMPUTED_VALUE"""),5.700543774056E12)</f>
        <v>5700543774056</v>
      </c>
      <c r="E31" s="4" t="str">
        <f>IFERROR(__xludf.DUMMYFUNCTION("""COMPUTED_VALUE"""),"মোঃ হাশেম বিশ্বাস")</f>
        <v>মোঃ হাশেম বিশ্বাস</v>
      </c>
      <c r="F31" s="4" t="str">
        <f>IFERROR(__xludf.DUMMYFUNCTION("""COMPUTED_VALUE"""),"মোছাঃ আনজিরা")</f>
        <v>মোছাঃ আনজিরা</v>
      </c>
      <c r="G31" s="4" t="str">
        <f>IFERROR(__xludf.DUMMYFUNCTION("""COMPUTED_VALUE"""),"১২/১০/১৯৮৩")</f>
        <v>১২/১০/১৯৮৩</v>
      </c>
      <c r="H31" s="4" t="str">
        <f>IFERROR(__xludf.DUMMYFUNCTION("""COMPUTED_VALUE"""),"গৃহিনী")</f>
        <v>গৃহিনী</v>
      </c>
      <c r="I31" s="4" t="str">
        <f>IFERROR(__xludf.DUMMYFUNCTION("""COMPUTED_VALUE"""),"""মহিষাখোলা")</f>
        <v>"মহিষাখোলা</v>
      </c>
      <c r="J31" s="4" t="str">
        <f>IFERROR(__xludf.DUMMYFUNCTION("""COMPUTED_VALUE""")," গাংনী")</f>
        <v> গাংনী</v>
      </c>
      <c r="K31" s="4" t="str">
        <f>IFERROR(__xludf.DUMMYFUNCTION("""COMPUTED_VALUE""")," মেহেরপুর""")</f>
        <v> মেহেরপুর"</v>
      </c>
    </row>
    <row r="32" ht="15.75" customHeight="1">
      <c r="A32" s="8" t="s">
        <v>2233</v>
      </c>
      <c r="B32" s="4">
        <f>IFERROR(__xludf.DUMMYFUNCTION("SPLIT(A32,"","")"),33.0)</f>
        <v>33</v>
      </c>
      <c r="C32" s="4" t="str">
        <f>IFERROR(__xludf.DUMMYFUNCTION("""COMPUTED_VALUE"""),"মোছাঃ দিপালী খাতুন")</f>
        <v>মোছাঃ দিপালী খাতুন</v>
      </c>
      <c r="D32" s="4">
        <f>IFERROR(__xludf.DUMMYFUNCTION("""COMPUTED_VALUE"""),5.700543774057E12)</f>
        <v>5700543774057</v>
      </c>
      <c r="E32" s="4" t="str">
        <f>IFERROR(__xludf.DUMMYFUNCTION("""COMPUTED_VALUE"""),"মোঃ কিফাত মন্ডল")</f>
        <v>মোঃ কিফাত মন্ডল</v>
      </c>
      <c r="F32" s="4" t="str">
        <f>IFERROR(__xludf.DUMMYFUNCTION("""COMPUTED_VALUE"""),"মোছাঃ আরজিয়া খাতুন")</f>
        <v>মোছাঃ আরজিয়া খাতুন</v>
      </c>
      <c r="G32" s="4" t="str">
        <f>IFERROR(__xludf.DUMMYFUNCTION("""COMPUTED_VALUE"""),"১৫/০৫/১৯৮৪")</f>
        <v>১৫/০৫/১৯৮৪</v>
      </c>
      <c r="H32" s="4" t="str">
        <f>IFERROR(__xludf.DUMMYFUNCTION("""COMPUTED_VALUE"""),"গৃহিনী")</f>
        <v>গৃহিনী</v>
      </c>
      <c r="I32" s="4" t="str">
        <f>IFERROR(__xludf.DUMMYFUNCTION("""COMPUTED_VALUE"""),"""মহিষাখোলা")</f>
        <v>"মহিষাখোলা</v>
      </c>
      <c r="J32" s="4" t="str">
        <f>IFERROR(__xludf.DUMMYFUNCTION("""COMPUTED_VALUE""")," গাংনী")</f>
        <v> গাংনী</v>
      </c>
      <c r="K32" s="4" t="str">
        <f>IFERROR(__xludf.DUMMYFUNCTION("""COMPUTED_VALUE""")," মেহেরপুর""")</f>
        <v> মেহেরপুর"</v>
      </c>
    </row>
    <row r="33" ht="15.75" customHeight="1">
      <c r="A33" s="8" t="s">
        <v>2234</v>
      </c>
      <c r="B33" s="4">
        <f>IFERROR(__xludf.DUMMYFUNCTION("SPLIT(A33,"","")"),34.0)</f>
        <v>34</v>
      </c>
      <c r="C33" s="4" t="str">
        <f>IFERROR(__xludf.DUMMYFUNCTION("""COMPUTED_VALUE"""),"মোছাঃ ডলি আরা")</f>
        <v>মোছাঃ ডলি আরা</v>
      </c>
      <c r="D33" s="4">
        <f>IFERROR(__xludf.DUMMYFUNCTION("""COMPUTED_VALUE"""),5.700543774058E12)</f>
        <v>5700543774058</v>
      </c>
      <c r="E33" s="4" t="str">
        <f>IFERROR(__xludf.DUMMYFUNCTION("""COMPUTED_VALUE"""),"রবকুল বিশ্বাস")</f>
        <v>রবকুল বিশ্বাস</v>
      </c>
      <c r="F33" s="4" t="str">
        <f>IFERROR(__xludf.DUMMYFUNCTION("""COMPUTED_VALUE"""),"মোছাঃ নিহারন")</f>
        <v>মোছাঃ নিহারন</v>
      </c>
      <c r="G33" s="4" t="str">
        <f>IFERROR(__xludf.DUMMYFUNCTION("""COMPUTED_VALUE"""),"১২/১০/১৯৮৭")</f>
        <v>১২/১০/১৯৮৭</v>
      </c>
      <c r="H33" s="4" t="str">
        <f>IFERROR(__xludf.DUMMYFUNCTION("""COMPUTED_VALUE"""),"গৃহিনী")</f>
        <v>গৃহিনী</v>
      </c>
      <c r="I33" s="4" t="str">
        <f>IFERROR(__xludf.DUMMYFUNCTION("""COMPUTED_VALUE"""),"""মহিষাখোলা")</f>
        <v>"মহিষাখোলা</v>
      </c>
      <c r="J33" s="4" t="str">
        <f>IFERROR(__xludf.DUMMYFUNCTION("""COMPUTED_VALUE""")," গাংনী")</f>
        <v> গাংনী</v>
      </c>
      <c r="K33" s="4" t="str">
        <f>IFERROR(__xludf.DUMMYFUNCTION("""COMPUTED_VALUE""")," মেহেরপুর""")</f>
        <v> মেহেরপুর"</v>
      </c>
    </row>
    <row r="34" ht="15.75" customHeight="1">
      <c r="A34" s="8" t="s">
        <v>2235</v>
      </c>
      <c r="B34" s="4">
        <f>IFERROR(__xludf.DUMMYFUNCTION("SPLIT(A34,"","")"),35.0)</f>
        <v>35</v>
      </c>
      <c r="C34" s="4" t="str">
        <f>IFERROR(__xludf.DUMMYFUNCTION("""COMPUTED_VALUE"""),"মোছাঃ মনোয়ারা খাতুন")</f>
        <v>মোছাঃ মনোয়ারা খাতুন</v>
      </c>
      <c r="D34" s="4">
        <f>IFERROR(__xludf.DUMMYFUNCTION("""COMPUTED_VALUE"""),5.700543774059E12)</f>
        <v>5700543774059</v>
      </c>
      <c r="E34" s="4" t="str">
        <f>IFERROR(__xludf.DUMMYFUNCTION("""COMPUTED_VALUE"""),"আঃ সাত্তার")</f>
        <v>আঃ সাত্তার</v>
      </c>
      <c r="F34" s="4" t="str">
        <f>IFERROR(__xludf.DUMMYFUNCTION("""COMPUTED_VALUE"""),"মোছাঃ রাবিয়া খাতুন")</f>
        <v>মোছাঃ রাবিয়া খাতুন</v>
      </c>
      <c r="G34" s="4" t="str">
        <f>IFERROR(__xludf.DUMMYFUNCTION("""COMPUTED_VALUE"""),"১২/০৫/১৯৬৭")</f>
        <v>১২/০৫/১৯৬৭</v>
      </c>
      <c r="H34" s="4" t="str">
        <f>IFERROR(__xludf.DUMMYFUNCTION("""COMPUTED_VALUE"""),"গৃহিনী")</f>
        <v>গৃহিনী</v>
      </c>
      <c r="I34" s="4" t="str">
        <f>IFERROR(__xludf.DUMMYFUNCTION("""COMPUTED_VALUE"""),"""মহিষাখোলা")</f>
        <v>"মহিষাখোলা</v>
      </c>
      <c r="J34" s="4" t="str">
        <f>IFERROR(__xludf.DUMMYFUNCTION("""COMPUTED_VALUE""")," গাংনী")</f>
        <v> গাংনী</v>
      </c>
      <c r="K34" s="4" t="str">
        <f>IFERROR(__xludf.DUMMYFUNCTION("""COMPUTED_VALUE""")," মেহেরপুর""")</f>
        <v> মেহেরপুর"</v>
      </c>
    </row>
    <row r="35" ht="15.75" customHeight="1">
      <c r="A35" s="8" t="s">
        <v>2236</v>
      </c>
      <c r="B35" s="4">
        <f>IFERROR(__xludf.DUMMYFUNCTION("SPLIT(A35,"","")"),36.0)</f>
        <v>36</v>
      </c>
      <c r="C35" s="4" t="str">
        <f>IFERROR(__xludf.DUMMYFUNCTION("""COMPUTED_VALUE"""),"মোছাঃ মনোয়ারা")</f>
        <v>মোছাঃ মনোয়ারা</v>
      </c>
      <c r="D35" s="4">
        <f>IFERROR(__xludf.DUMMYFUNCTION("""COMPUTED_VALUE"""),5.70054377406E12)</f>
        <v>5700543774060</v>
      </c>
      <c r="E35" s="4" t="str">
        <f>IFERROR(__xludf.DUMMYFUNCTION("""COMPUTED_VALUE"""),"মোঃ আঃ বাহাজ")</f>
        <v>মোঃ আঃ বাহাজ</v>
      </c>
      <c r="F35" s="4" t="str">
        <f>IFERROR(__xludf.DUMMYFUNCTION("""COMPUTED_VALUE"""),"ানুরা খাতুন")</f>
        <v>ানুরা খাতুন</v>
      </c>
      <c r="G35" s="4" t="str">
        <f>IFERROR(__xludf.DUMMYFUNCTION("""COMPUTED_VALUE"""),"১০/০২/১৯৬২")</f>
        <v>১০/০২/১৯৬২</v>
      </c>
      <c r="H35" s="4" t="str">
        <f>IFERROR(__xludf.DUMMYFUNCTION("""COMPUTED_VALUE"""),"গৃহিনী")</f>
        <v>গৃহিনী</v>
      </c>
      <c r="I35" s="4" t="str">
        <f>IFERROR(__xludf.DUMMYFUNCTION("""COMPUTED_VALUE"""),"""মহিষাখোলা")</f>
        <v>"মহিষাখোলা</v>
      </c>
      <c r="J35" s="4" t="str">
        <f>IFERROR(__xludf.DUMMYFUNCTION("""COMPUTED_VALUE""")," গাংনী")</f>
        <v> গাংনী</v>
      </c>
      <c r="K35" s="4" t="str">
        <f>IFERROR(__xludf.DUMMYFUNCTION("""COMPUTED_VALUE""")," মেহেরপুর""")</f>
        <v> মেহেরপুর"</v>
      </c>
    </row>
    <row r="36" ht="15.75" customHeight="1">
      <c r="A36" s="8" t="s">
        <v>2237</v>
      </c>
      <c r="B36" s="4">
        <f>IFERROR(__xludf.DUMMYFUNCTION("SPLIT(A36,"","")"),37.0)</f>
        <v>37</v>
      </c>
      <c r="C36" s="4" t="str">
        <f>IFERROR(__xludf.DUMMYFUNCTION("""COMPUTED_VALUE"""),"মোছাঃ সিয়াতন নেছা")</f>
        <v>মোছাঃ সিয়াতন নেছা</v>
      </c>
      <c r="D36" s="4">
        <f>IFERROR(__xludf.DUMMYFUNCTION("""COMPUTED_VALUE"""),5.700543774061E12)</f>
        <v>5700543774061</v>
      </c>
      <c r="E36" s="4" t="str">
        <f>IFERROR(__xludf.DUMMYFUNCTION("""COMPUTED_VALUE"""),"বিলাত মালিথা")</f>
        <v>বিলাত মালিথা</v>
      </c>
      <c r="F36" s="4" t="str">
        <f>IFERROR(__xludf.DUMMYFUNCTION("""COMPUTED_VALUE"""),"খুকী")</f>
        <v>খুকী</v>
      </c>
      <c r="G36" s="4" t="str">
        <f>IFERROR(__xludf.DUMMYFUNCTION("""COMPUTED_VALUE"""),"১২/১০/১৯৪৭")</f>
        <v>১২/১০/১৯৪৭</v>
      </c>
      <c r="H36" s="4" t="str">
        <f>IFERROR(__xludf.DUMMYFUNCTION("""COMPUTED_VALUE"""),"গৃহিনী")</f>
        <v>গৃহিনী</v>
      </c>
      <c r="I36" s="4" t="str">
        <f>IFERROR(__xludf.DUMMYFUNCTION("""COMPUTED_VALUE"""),"""মহিষাখোলা")</f>
        <v>"মহিষাখোলা</v>
      </c>
      <c r="J36" s="4" t="str">
        <f>IFERROR(__xludf.DUMMYFUNCTION("""COMPUTED_VALUE""")," গাংনী")</f>
        <v> গাংনী</v>
      </c>
      <c r="K36" s="4" t="str">
        <f>IFERROR(__xludf.DUMMYFUNCTION("""COMPUTED_VALUE""")," মেহেরপুর""")</f>
        <v> মেহেরপুর"</v>
      </c>
    </row>
    <row r="37" ht="15.75" customHeight="1">
      <c r="A37" s="8" t="s">
        <v>2238</v>
      </c>
      <c r="B37" s="4">
        <f>IFERROR(__xludf.DUMMYFUNCTION("SPLIT(A37,"","")"),38.0)</f>
        <v>38</v>
      </c>
      <c r="C37" s="4" t="str">
        <f>IFERROR(__xludf.DUMMYFUNCTION("""COMPUTED_VALUE"""),"মোছাঃ জাহেদা খাতুন")</f>
        <v>মোছাঃ জাহেদা খাতুন</v>
      </c>
      <c r="D37" s="4">
        <f>IFERROR(__xludf.DUMMYFUNCTION("""COMPUTED_VALUE"""),5.700543774062E12)</f>
        <v>5700543774062</v>
      </c>
      <c r="E37" s="4" t="str">
        <f>IFERROR(__xludf.DUMMYFUNCTION("""COMPUTED_VALUE"""),"বাসী মন্ডল")</f>
        <v>বাসী মন্ডল</v>
      </c>
      <c r="F37" s="4" t="str">
        <f>IFERROR(__xludf.DUMMYFUNCTION("""COMPUTED_VALUE"""),"মোছাঃ ফুলজান")</f>
        <v>মোছাঃ ফুলজান</v>
      </c>
      <c r="G37" s="4" t="str">
        <f>IFERROR(__xludf.DUMMYFUNCTION("""COMPUTED_VALUE"""),"১০/০৫/১৯৪৯")</f>
        <v>১০/০৫/১৯৪৯</v>
      </c>
      <c r="H37" s="4" t="str">
        <f>IFERROR(__xludf.DUMMYFUNCTION("""COMPUTED_VALUE"""),"গৃহিনী")</f>
        <v>গৃহিনী</v>
      </c>
      <c r="I37" s="4" t="str">
        <f>IFERROR(__xludf.DUMMYFUNCTION("""COMPUTED_VALUE"""),"""মহিষাখোলা")</f>
        <v>"মহিষাখোলা</v>
      </c>
      <c r="J37" s="4" t="str">
        <f>IFERROR(__xludf.DUMMYFUNCTION("""COMPUTED_VALUE""")," গাংনী")</f>
        <v> গাংনী</v>
      </c>
      <c r="K37" s="4" t="str">
        <f>IFERROR(__xludf.DUMMYFUNCTION("""COMPUTED_VALUE""")," মেহেরপুর""")</f>
        <v> মেহেরপুর"</v>
      </c>
    </row>
    <row r="38" ht="15.75" customHeight="1">
      <c r="A38" s="8" t="s">
        <v>2239</v>
      </c>
      <c r="B38" s="4">
        <f>IFERROR(__xludf.DUMMYFUNCTION("SPLIT(A38,"","")"),39.0)</f>
        <v>39</v>
      </c>
      <c r="C38" s="4" t="str">
        <f>IFERROR(__xludf.DUMMYFUNCTION("""COMPUTED_VALUE"""),"মোছাঃ ফাহিমা খাতুন")</f>
        <v>মোছাঃ ফাহিমা খাতুন</v>
      </c>
      <c r="D38" s="4">
        <f>IFERROR(__xludf.DUMMYFUNCTION("""COMPUTED_VALUE"""),5.700543774064E12)</f>
        <v>5700543774064</v>
      </c>
      <c r="E38" s="4" t="str">
        <f>IFERROR(__xludf.DUMMYFUNCTION("""COMPUTED_VALUE"""),"মোঃ বাবুর আলী")</f>
        <v>মোঃ বাবুর আলী</v>
      </c>
      <c r="F38" s="4" t="str">
        <f>IFERROR(__xludf.DUMMYFUNCTION("""COMPUTED_VALUE"""),"মোছাঃ মনোয়ারা খাতুন")</f>
        <v>মোছাঃ মনোয়ারা খাতুন</v>
      </c>
      <c r="G38" s="4" t="str">
        <f>IFERROR(__xludf.DUMMYFUNCTION("""COMPUTED_VALUE"""),"১৬/০৫/১৯৮৭")</f>
        <v>১৬/০৫/১৯৮৭</v>
      </c>
      <c r="H38" s="4" t="str">
        <f>IFERROR(__xludf.DUMMYFUNCTION("""COMPUTED_VALUE"""),"গৃহিনী")</f>
        <v>গৃহিনী</v>
      </c>
      <c r="I38" s="4" t="str">
        <f>IFERROR(__xludf.DUMMYFUNCTION("""COMPUTED_VALUE"""),"""মহিষাখোলা")</f>
        <v>"মহিষাখোলা</v>
      </c>
      <c r="J38" s="4" t="str">
        <f>IFERROR(__xludf.DUMMYFUNCTION("""COMPUTED_VALUE""")," গাংনী")</f>
        <v> গাংনী</v>
      </c>
      <c r="K38" s="4" t="str">
        <f>IFERROR(__xludf.DUMMYFUNCTION("""COMPUTED_VALUE""")," মেহেরপুর""")</f>
        <v> মেহেরপুর"</v>
      </c>
    </row>
    <row r="39" ht="15.75" customHeight="1">
      <c r="A39" s="8" t="s">
        <v>2240</v>
      </c>
      <c r="B39" s="4">
        <f>IFERROR(__xludf.DUMMYFUNCTION("SPLIT(A39,"","")"),40.0)</f>
        <v>40</v>
      </c>
      <c r="C39" s="4" t="str">
        <f>IFERROR(__xludf.DUMMYFUNCTION("""COMPUTED_VALUE"""),"মোছাঃ পারুলা খাতুন")</f>
        <v>মোছাঃ পারুলা খাতুন</v>
      </c>
      <c r="D39" s="4">
        <f>IFERROR(__xludf.DUMMYFUNCTION("""COMPUTED_VALUE"""),5.700543774065E12)</f>
        <v>5700543774065</v>
      </c>
      <c r="E39" s="4" t="str">
        <f>IFERROR(__xludf.DUMMYFUNCTION("""COMPUTED_VALUE"""),"রাহিলদ্দীন")</f>
        <v>রাহিলদ্দীন</v>
      </c>
      <c r="F39" s="4" t="str">
        <f>IFERROR(__xludf.DUMMYFUNCTION("""COMPUTED_VALUE"""),"মোছাঃ রাবিয়া")</f>
        <v>মোছাঃ রাবিয়া</v>
      </c>
      <c r="G39" s="4" t="str">
        <f>IFERROR(__xludf.DUMMYFUNCTION("""COMPUTED_VALUE"""),"১০/০৫/১৯৬৭")</f>
        <v>১০/০৫/১৯৬৭</v>
      </c>
      <c r="H39" s="4" t="str">
        <f>IFERROR(__xludf.DUMMYFUNCTION("""COMPUTED_VALUE"""),"গৃহিনী")</f>
        <v>গৃহিনী</v>
      </c>
      <c r="I39" s="4" t="str">
        <f>IFERROR(__xludf.DUMMYFUNCTION("""COMPUTED_VALUE"""),"""মহিষাখোলা")</f>
        <v>"মহিষাখোলা</v>
      </c>
      <c r="J39" s="4" t="str">
        <f>IFERROR(__xludf.DUMMYFUNCTION("""COMPUTED_VALUE""")," গাংনী")</f>
        <v> গাংনী</v>
      </c>
      <c r="K39" s="4" t="str">
        <f>IFERROR(__xludf.DUMMYFUNCTION("""COMPUTED_VALUE""")," মেহেরপুর""")</f>
        <v> মেহেরপুর"</v>
      </c>
    </row>
    <row r="40" ht="15.75" customHeight="1">
      <c r="A40" s="8" t="s">
        <v>2241</v>
      </c>
      <c r="B40" s="4">
        <f>IFERROR(__xludf.DUMMYFUNCTION("SPLIT(A40,"","")"),41.0)</f>
        <v>41</v>
      </c>
      <c r="C40" s="4" t="str">
        <f>IFERROR(__xludf.DUMMYFUNCTION("""COMPUTED_VALUE"""),"মোছাঃ মনোয়ারা খাতুন")</f>
        <v>মোছাঃ মনোয়ারা খাতুন</v>
      </c>
      <c r="D40" s="4">
        <f>IFERROR(__xludf.DUMMYFUNCTION("""COMPUTED_VALUE"""),5.700543774067E12)</f>
        <v>5700543774067</v>
      </c>
      <c r="E40" s="4" t="str">
        <f>IFERROR(__xludf.DUMMYFUNCTION("""COMPUTED_VALUE"""),"শামছুদ্দীন")</f>
        <v>শামছুদ্দীন</v>
      </c>
      <c r="F40" s="4" t="str">
        <f>IFERROR(__xludf.DUMMYFUNCTION("""COMPUTED_VALUE"""),"রাবিয়া খাতুন")</f>
        <v>রাবিয়া খাতুন</v>
      </c>
      <c r="G40" s="4" t="str">
        <f>IFERROR(__xludf.DUMMYFUNCTION("""COMPUTED_VALUE"""),"১৬/০৬/১৯৬২")</f>
        <v>১৬/০৬/১৯৬২</v>
      </c>
      <c r="H40" s="4" t="str">
        <f>IFERROR(__xludf.DUMMYFUNCTION("""COMPUTED_VALUE"""),"গৃহিনী")</f>
        <v>গৃহিনী</v>
      </c>
      <c r="I40" s="4" t="str">
        <f>IFERROR(__xludf.DUMMYFUNCTION("""COMPUTED_VALUE"""),"""মহিষাখোলা")</f>
        <v>"মহিষাখোলা</v>
      </c>
      <c r="J40" s="4" t="str">
        <f>IFERROR(__xludf.DUMMYFUNCTION("""COMPUTED_VALUE""")," গাংনী")</f>
        <v> গাংনী</v>
      </c>
      <c r="K40" s="4" t="str">
        <f>IFERROR(__xludf.DUMMYFUNCTION("""COMPUTED_VALUE""")," মেহেরপুর""")</f>
        <v> মেহেরপুর"</v>
      </c>
    </row>
    <row r="41" ht="15.75" customHeight="1">
      <c r="A41" s="8" t="s">
        <v>2242</v>
      </c>
      <c r="B41" s="4">
        <f>IFERROR(__xludf.DUMMYFUNCTION("SPLIT(A41,"","")"),42.0)</f>
        <v>42</v>
      </c>
      <c r="C41" s="4" t="str">
        <f>IFERROR(__xludf.DUMMYFUNCTION("""COMPUTED_VALUE"""),"মোছাঃ পান্না খাতুন")</f>
        <v>মোছাঃ পান্না খাতুন</v>
      </c>
      <c r="D41" s="4">
        <f>IFERROR(__xludf.DUMMYFUNCTION("""COMPUTED_VALUE"""),5.700543774068E12)</f>
        <v>5700543774068</v>
      </c>
      <c r="E41" s="4" t="str">
        <f>IFERROR(__xludf.DUMMYFUNCTION("""COMPUTED_VALUE"""),"মোঃ আঃ রশিদ")</f>
        <v>মোঃ আঃ রশিদ</v>
      </c>
      <c r="F41" s="4" t="str">
        <f>IFERROR(__xludf.DUMMYFUNCTION("""COMPUTED_VALUE"""),"মোছাঃ সামসুন্নাহার")</f>
        <v>মোছাঃ সামসুন্নাহার</v>
      </c>
      <c r="G41" s="4" t="str">
        <f>IFERROR(__xludf.DUMMYFUNCTION("""COMPUTED_VALUE"""),"১০/০৫/১৯৮৫")</f>
        <v>১০/০৫/১৯৮৫</v>
      </c>
      <c r="H41" s="4" t="str">
        <f>IFERROR(__xludf.DUMMYFUNCTION("""COMPUTED_VALUE"""),"গৃহিনী")</f>
        <v>গৃহিনী</v>
      </c>
      <c r="I41" s="4" t="str">
        <f>IFERROR(__xludf.DUMMYFUNCTION("""COMPUTED_VALUE"""),"""মহিষাখোলা")</f>
        <v>"মহিষাখোলা</v>
      </c>
      <c r="J41" s="4" t="str">
        <f>IFERROR(__xludf.DUMMYFUNCTION("""COMPUTED_VALUE""")," গাংনী")</f>
        <v> গাংনী</v>
      </c>
      <c r="K41" s="4" t="str">
        <f>IFERROR(__xludf.DUMMYFUNCTION("""COMPUTED_VALUE""")," মেহেরপুর""")</f>
        <v> মেহেরপুর"</v>
      </c>
    </row>
    <row r="42" ht="15.75" customHeight="1">
      <c r="A42" s="8" t="s">
        <v>2243</v>
      </c>
      <c r="B42" s="4">
        <f>IFERROR(__xludf.DUMMYFUNCTION("SPLIT(A42,"","")"),43.0)</f>
        <v>43</v>
      </c>
      <c r="C42" s="4" t="str">
        <f>IFERROR(__xludf.DUMMYFUNCTION("""COMPUTED_VALUE"""),"মোছাঃ রহিমা খাতুন")</f>
        <v>মোছাঃ রহিমা খাতুন</v>
      </c>
      <c r="D42" s="4">
        <f>IFERROR(__xludf.DUMMYFUNCTION("""COMPUTED_VALUE"""),5.700543774069E12)</f>
        <v>5700543774069</v>
      </c>
      <c r="E42" s="4" t="str">
        <f>IFERROR(__xludf.DUMMYFUNCTION("""COMPUTED_VALUE"""),"ইরাজ মন্ডল")</f>
        <v>ইরাজ মন্ডল</v>
      </c>
      <c r="F42" s="4" t="str">
        <f>IFERROR(__xludf.DUMMYFUNCTION("""COMPUTED_VALUE"""),"রেফন")</f>
        <v>রেফন</v>
      </c>
      <c r="G42" s="4" t="str">
        <f>IFERROR(__xludf.DUMMYFUNCTION("""COMPUTED_VALUE"""),"১২/১০/১৯৫৫")</f>
        <v>১২/১০/১৯৫৫</v>
      </c>
      <c r="H42" s="4" t="str">
        <f>IFERROR(__xludf.DUMMYFUNCTION("""COMPUTED_VALUE"""),"গৃহিনী")</f>
        <v>গৃহিনী</v>
      </c>
      <c r="I42" s="4" t="str">
        <f>IFERROR(__xludf.DUMMYFUNCTION("""COMPUTED_VALUE"""),"""মহিষাখোলা")</f>
        <v>"মহিষাখোলা</v>
      </c>
      <c r="J42" s="4" t="str">
        <f>IFERROR(__xludf.DUMMYFUNCTION("""COMPUTED_VALUE""")," গাংনী")</f>
        <v> গাংনী</v>
      </c>
      <c r="K42" s="4" t="str">
        <f>IFERROR(__xludf.DUMMYFUNCTION("""COMPUTED_VALUE""")," মেহেরপুর""")</f>
        <v> মেহেরপুর"</v>
      </c>
    </row>
    <row r="43" ht="15.75" customHeight="1">
      <c r="A43" s="8" t="s">
        <v>2244</v>
      </c>
      <c r="B43" s="4">
        <f>IFERROR(__xludf.DUMMYFUNCTION("SPLIT(A43,"","")"),44.0)</f>
        <v>44</v>
      </c>
      <c r="C43" s="4" t="str">
        <f>IFERROR(__xludf.DUMMYFUNCTION("""COMPUTED_VALUE"""),"মোছাঃ সাহেদা খাতুন")</f>
        <v>মোছাঃ সাহেদা খাতুন</v>
      </c>
      <c r="D43" s="4">
        <f>IFERROR(__xludf.DUMMYFUNCTION("""COMPUTED_VALUE"""),5.700543774072E12)</f>
        <v>5700543774072</v>
      </c>
      <c r="E43" s="4" t="str">
        <f>IFERROR(__xludf.DUMMYFUNCTION("""COMPUTED_VALUE"""),"মোঃ রবজেল শেখ")</f>
        <v>মোঃ রবজেল শেখ</v>
      </c>
      <c r="F43" s="4" t="str">
        <f>IFERROR(__xludf.DUMMYFUNCTION("""COMPUTED_VALUE"""),"সোকিনা খাতুন")</f>
        <v>সোকিনা খাতুন</v>
      </c>
      <c r="G43" s="4" t="str">
        <f>IFERROR(__xludf.DUMMYFUNCTION("""COMPUTED_VALUE"""),"১২/০৫/১৯৪৯")</f>
        <v>১২/০৫/১৯৪৯</v>
      </c>
      <c r="H43" s="4" t="str">
        <f>IFERROR(__xludf.DUMMYFUNCTION("""COMPUTED_VALUE"""),"গৃহিনী")</f>
        <v>গৃহিনী</v>
      </c>
      <c r="I43" s="4" t="str">
        <f>IFERROR(__xludf.DUMMYFUNCTION("""COMPUTED_VALUE"""),"""মহিষাখোলা")</f>
        <v>"মহিষাখোলা</v>
      </c>
      <c r="J43" s="4" t="str">
        <f>IFERROR(__xludf.DUMMYFUNCTION("""COMPUTED_VALUE""")," গাংনী")</f>
        <v> গাংনী</v>
      </c>
      <c r="K43" s="4" t="str">
        <f>IFERROR(__xludf.DUMMYFUNCTION("""COMPUTED_VALUE""")," মেহেরপুর""")</f>
        <v> মেহেরপুর"</v>
      </c>
    </row>
    <row r="44" ht="15.75" customHeight="1">
      <c r="A44" s="8" t="s">
        <v>2245</v>
      </c>
      <c r="B44" s="4">
        <f>IFERROR(__xludf.DUMMYFUNCTION("SPLIT(A44,"","")"),45.0)</f>
        <v>45</v>
      </c>
      <c r="C44" s="4" t="str">
        <f>IFERROR(__xludf.DUMMYFUNCTION("""COMPUTED_VALUE"""),"মোছাঃ ফাতেমা খাতুন")</f>
        <v>মোছাঃ ফাতেমা খাতুন</v>
      </c>
      <c r="D44" s="4">
        <f>IFERROR(__xludf.DUMMYFUNCTION("""COMPUTED_VALUE"""),5.700543774073E12)</f>
        <v>5700543774073</v>
      </c>
      <c r="E44" s="4" t="str">
        <f>IFERROR(__xludf.DUMMYFUNCTION("""COMPUTED_VALUE"""),"মর্জেম বিশ্বাস")</f>
        <v>মর্জেম বিশ্বাস</v>
      </c>
      <c r="F44" s="4" t="str">
        <f>IFERROR(__xludf.DUMMYFUNCTION("""COMPUTED_VALUE"""),"মোছাঃ আয়েশা খাতুন")</f>
        <v>মোছাঃ আয়েশা খাতুন</v>
      </c>
      <c r="G44" s="4" t="str">
        <f>IFERROR(__xludf.DUMMYFUNCTION("""COMPUTED_VALUE"""),"১২/০৫/১৯৭৭")</f>
        <v>১২/০৫/১৯৭৭</v>
      </c>
      <c r="H44" s="4" t="str">
        <f>IFERROR(__xludf.DUMMYFUNCTION("""COMPUTED_VALUE"""),"গৃহিনী")</f>
        <v>গৃহিনী</v>
      </c>
      <c r="I44" s="4" t="str">
        <f>IFERROR(__xludf.DUMMYFUNCTION("""COMPUTED_VALUE"""),"""মহিষাখোলা")</f>
        <v>"মহিষাখোলা</v>
      </c>
      <c r="J44" s="4" t="str">
        <f>IFERROR(__xludf.DUMMYFUNCTION("""COMPUTED_VALUE""")," গাংনী")</f>
        <v> গাংনী</v>
      </c>
      <c r="K44" s="4" t="str">
        <f>IFERROR(__xludf.DUMMYFUNCTION("""COMPUTED_VALUE""")," মেহেরপুর""")</f>
        <v> মেহেরপুর"</v>
      </c>
    </row>
    <row r="45" ht="15.75" customHeight="1">
      <c r="A45" s="8" t="s">
        <v>2246</v>
      </c>
      <c r="B45" s="4">
        <f>IFERROR(__xludf.DUMMYFUNCTION("SPLIT(A45,"","")"),46.0)</f>
        <v>46</v>
      </c>
      <c r="C45" s="4" t="str">
        <f>IFERROR(__xludf.DUMMYFUNCTION("""COMPUTED_VALUE"""),"মোছাঃ তহমিনা খাতুন")</f>
        <v>মোছাঃ তহমিনা খাতুন</v>
      </c>
      <c r="D45" s="4">
        <f>IFERROR(__xludf.DUMMYFUNCTION("""COMPUTED_VALUE"""),5.700543774074E12)</f>
        <v>5700543774074</v>
      </c>
      <c r="E45" s="4" t="str">
        <f>IFERROR(__xludf.DUMMYFUNCTION("""COMPUTED_VALUE"""),"মোঃ মিনাজ মন্ডল")</f>
        <v>মোঃ মিনাজ মন্ডল</v>
      </c>
      <c r="F45" s="4" t="str">
        <f>IFERROR(__xludf.DUMMYFUNCTION("""COMPUTED_VALUE"""),"মোছাঃ অনুরা")</f>
        <v>মোছাঃ অনুরা</v>
      </c>
      <c r="G45" s="4" t="str">
        <f>IFERROR(__xludf.DUMMYFUNCTION("""COMPUTED_VALUE"""),"১০/১০/১৯৬৭")</f>
        <v>১০/১০/১৯৬৭</v>
      </c>
      <c r="H45" s="4" t="str">
        <f>IFERROR(__xludf.DUMMYFUNCTION("""COMPUTED_VALUE"""),"গৃহিনী")</f>
        <v>গৃহিনী</v>
      </c>
      <c r="I45" s="4" t="str">
        <f>IFERROR(__xludf.DUMMYFUNCTION("""COMPUTED_VALUE"""),"""মহিষাখোলা")</f>
        <v>"মহিষাখোলা</v>
      </c>
      <c r="J45" s="4" t="str">
        <f>IFERROR(__xludf.DUMMYFUNCTION("""COMPUTED_VALUE""")," গাংনী")</f>
        <v> গাংনী</v>
      </c>
      <c r="K45" s="4" t="str">
        <f>IFERROR(__xludf.DUMMYFUNCTION("""COMPUTED_VALUE""")," মেহেরপুর""")</f>
        <v> মেহেরপুর"</v>
      </c>
    </row>
    <row r="46" ht="15.75" customHeight="1">
      <c r="A46" s="8" t="s">
        <v>2247</v>
      </c>
      <c r="B46" s="4">
        <f>IFERROR(__xludf.DUMMYFUNCTION("SPLIT(A46,"","")"),47.0)</f>
        <v>47</v>
      </c>
      <c r="C46" s="4" t="str">
        <f>IFERROR(__xludf.DUMMYFUNCTION("""COMPUTED_VALUE"""),"মোছাঃ আংুরা খাতুন")</f>
        <v>মোছাঃ আংুরা খাতুন</v>
      </c>
      <c r="D46" s="4">
        <f>IFERROR(__xludf.DUMMYFUNCTION("""COMPUTED_VALUE"""),5.700543774077E12)</f>
        <v>5700543774077</v>
      </c>
      <c r="E46" s="4" t="str">
        <f>IFERROR(__xludf.DUMMYFUNCTION("""COMPUTED_VALUE"""),"ইসলাম মন্ডল")</f>
        <v>ইসলাম মন্ডল</v>
      </c>
      <c r="F46" s="4" t="str">
        <f>IFERROR(__xludf.DUMMYFUNCTION("""COMPUTED_VALUE"""),"মোছাঃ আমেনা")</f>
        <v>মোছাঃ আমেনা</v>
      </c>
      <c r="G46" s="4" t="str">
        <f>IFERROR(__xludf.DUMMYFUNCTION("""COMPUTED_VALUE"""),"১৫/০৪/১৯৬২")</f>
        <v>১৫/০৪/১৯৬২</v>
      </c>
      <c r="H46" s="4" t="str">
        <f>IFERROR(__xludf.DUMMYFUNCTION("""COMPUTED_VALUE"""),"গৃহিনী")</f>
        <v>গৃহিনী</v>
      </c>
      <c r="I46" s="4" t="str">
        <f>IFERROR(__xludf.DUMMYFUNCTION("""COMPUTED_VALUE"""),"""মহিষাখোলা")</f>
        <v>"মহিষাখোলা</v>
      </c>
      <c r="J46" s="4" t="str">
        <f>IFERROR(__xludf.DUMMYFUNCTION("""COMPUTED_VALUE""")," গাংনী")</f>
        <v> গাংনী</v>
      </c>
      <c r="K46" s="4" t="str">
        <f>IFERROR(__xludf.DUMMYFUNCTION("""COMPUTED_VALUE""")," মেহেরপুর""")</f>
        <v> মেহেরপুর"</v>
      </c>
    </row>
    <row r="47" ht="15.75" customHeight="1">
      <c r="A47" s="8" t="s">
        <v>2248</v>
      </c>
      <c r="B47" s="4">
        <f>IFERROR(__xludf.DUMMYFUNCTION("SPLIT(A47,"","")"),48.0)</f>
        <v>48</v>
      </c>
      <c r="C47" s="4" t="str">
        <f>IFERROR(__xludf.DUMMYFUNCTION("""COMPUTED_VALUE"""),"মোছাঃ সামসুন্নাহার")</f>
        <v>মোছাঃ সামসুন্নাহার</v>
      </c>
      <c r="D47" s="4">
        <f>IFERROR(__xludf.DUMMYFUNCTION("""COMPUTED_VALUE"""),5.700543774079E12)</f>
        <v>5700543774079</v>
      </c>
      <c r="E47" s="4" t="str">
        <f>IFERROR(__xludf.DUMMYFUNCTION("""COMPUTED_VALUE"""),"গনি মন্ডল")</f>
        <v>গনি মন্ডল</v>
      </c>
      <c r="F47" s="4" t="str">
        <f>IFERROR(__xludf.DUMMYFUNCTION("""COMPUTED_VALUE"""),"আনোয়ারা")</f>
        <v>আনোয়ারা</v>
      </c>
      <c r="G47" s="4" t="str">
        <f>IFERROR(__xludf.DUMMYFUNCTION("""COMPUTED_VALUE"""),"১০/০২/১৯৬৭")</f>
        <v>১০/০২/১৯৬৭</v>
      </c>
      <c r="H47" s="4" t="str">
        <f>IFERROR(__xludf.DUMMYFUNCTION("""COMPUTED_VALUE"""),"গৃহিনী")</f>
        <v>গৃহিনী</v>
      </c>
      <c r="I47" s="4" t="str">
        <f>IFERROR(__xludf.DUMMYFUNCTION("""COMPUTED_VALUE"""),"""মহিষাখোলা")</f>
        <v>"মহিষাখোলা</v>
      </c>
      <c r="J47" s="4" t="str">
        <f>IFERROR(__xludf.DUMMYFUNCTION("""COMPUTED_VALUE""")," গাংনী")</f>
        <v> গাংনী</v>
      </c>
      <c r="K47" s="4" t="str">
        <f>IFERROR(__xludf.DUMMYFUNCTION("""COMPUTED_VALUE""")," মেহেরপুর""")</f>
        <v> মেহেরপুর"</v>
      </c>
    </row>
    <row r="48" ht="15.75" customHeight="1">
      <c r="A48" s="8" t="s">
        <v>2249</v>
      </c>
      <c r="B48" s="4">
        <f>IFERROR(__xludf.DUMMYFUNCTION("SPLIT(A48,"","")"),49.0)</f>
        <v>49</v>
      </c>
      <c r="C48" s="4" t="str">
        <f>IFERROR(__xludf.DUMMYFUNCTION("""COMPUTED_VALUE"""),"মোছাঃ ফাহিমা খাতুন")</f>
        <v>মোছাঃ ফাহিমা খাতুন</v>
      </c>
      <c r="D48" s="4">
        <f>IFERROR(__xludf.DUMMYFUNCTION("""COMPUTED_VALUE"""),5.700543774081E12)</f>
        <v>5700543774081</v>
      </c>
      <c r="E48" s="4" t="str">
        <f>IFERROR(__xludf.DUMMYFUNCTION("""COMPUTED_VALUE"""),"নইমদ্দীন")</f>
        <v>নইমদ্দীন</v>
      </c>
      <c r="F48" s="4" t="str">
        <f>IFERROR(__xludf.DUMMYFUNCTION("""COMPUTED_VALUE"""),"মোছাঃ খোদেজা")</f>
        <v>মোছাঃ খোদেজা</v>
      </c>
      <c r="G48" s="4" t="str">
        <f>IFERROR(__xludf.DUMMYFUNCTION("""COMPUTED_VALUE"""),"১৫/০২/১৯৭২")</f>
        <v>১৫/০২/১৯৭২</v>
      </c>
      <c r="H48" s="4" t="str">
        <f>IFERROR(__xludf.DUMMYFUNCTION("""COMPUTED_VALUE"""),"গৃহিনী")</f>
        <v>গৃহিনী</v>
      </c>
      <c r="I48" s="4" t="str">
        <f>IFERROR(__xludf.DUMMYFUNCTION("""COMPUTED_VALUE"""),"""মহিষাখোলা")</f>
        <v>"মহিষাখোলা</v>
      </c>
      <c r="J48" s="4" t="str">
        <f>IFERROR(__xludf.DUMMYFUNCTION("""COMPUTED_VALUE""")," গাংনী")</f>
        <v> গাংনী</v>
      </c>
      <c r="K48" s="4" t="str">
        <f>IFERROR(__xludf.DUMMYFUNCTION("""COMPUTED_VALUE""")," মেহেরপুর""")</f>
        <v> মেহেরপুর"</v>
      </c>
    </row>
    <row r="49" ht="15.75" customHeight="1">
      <c r="A49" s="8" t="s">
        <v>2250</v>
      </c>
      <c r="B49" s="4">
        <f>IFERROR(__xludf.DUMMYFUNCTION("SPLIT(A49,"","")"),50.0)</f>
        <v>50</v>
      </c>
      <c r="C49" s="4" t="str">
        <f>IFERROR(__xludf.DUMMYFUNCTION("""COMPUTED_VALUE"""),"মোছাঃ শিউলী আরা")</f>
        <v>মোছাঃ শিউলী আরা</v>
      </c>
      <c r="D49" s="4">
        <f>IFERROR(__xludf.DUMMYFUNCTION("""COMPUTED_VALUE"""),5.700543774083E12)</f>
        <v>5700543774083</v>
      </c>
      <c r="E49" s="4" t="str">
        <f>IFERROR(__xludf.DUMMYFUNCTION("""COMPUTED_VALUE"""),"রহমতুল্লাহ")</f>
        <v>রহমতুল্লাহ</v>
      </c>
      <c r="F49" s="4" t="str">
        <f>IFERROR(__xludf.DUMMYFUNCTION("""COMPUTED_VALUE"""),"মোছাঃ গোলেনুর")</f>
        <v>মোছাঃ গোলেনুর</v>
      </c>
      <c r="G49" s="4" t="str">
        <f>IFERROR(__xludf.DUMMYFUNCTION("""COMPUTED_VALUE"""),"১০/০৪/১৯৮১")</f>
        <v>১০/০৪/১৯৮১</v>
      </c>
      <c r="H49" s="4" t="str">
        <f>IFERROR(__xludf.DUMMYFUNCTION("""COMPUTED_VALUE"""),"গৃহিনী")</f>
        <v>গৃহিনী</v>
      </c>
      <c r="I49" s="4" t="str">
        <f>IFERROR(__xludf.DUMMYFUNCTION("""COMPUTED_VALUE"""),"""মহিষাখোলা")</f>
        <v>"মহিষাখোলা</v>
      </c>
      <c r="J49" s="4" t="str">
        <f>IFERROR(__xludf.DUMMYFUNCTION("""COMPUTED_VALUE""")," গাংনী")</f>
        <v> গাংনী</v>
      </c>
      <c r="K49" s="4" t="str">
        <f>IFERROR(__xludf.DUMMYFUNCTION("""COMPUTED_VALUE""")," মেহেরপুর""")</f>
        <v> মেহেরপুর"</v>
      </c>
    </row>
    <row r="50" ht="15.75" customHeight="1">
      <c r="A50" s="8" t="s">
        <v>2251</v>
      </c>
      <c r="B50" s="4">
        <f>IFERROR(__xludf.DUMMYFUNCTION("SPLIT(A50,"","")"),51.0)</f>
        <v>51</v>
      </c>
      <c r="C50" s="4" t="str">
        <f>IFERROR(__xludf.DUMMYFUNCTION("""COMPUTED_VALUE"""),"মোছাঃ রুকিয়া খাতুন")</f>
        <v>মোছাঃ রুকিয়া খাতুন</v>
      </c>
      <c r="D50" s="4">
        <f>IFERROR(__xludf.DUMMYFUNCTION("""COMPUTED_VALUE"""),5.700543774084E12)</f>
        <v>5700543774084</v>
      </c>
      <c r="E50" s="4" t="str">
        <f>IFERROR(__xludf.DUMMYFUNCTION("""COMPUTED_VALUE"""),"খবির উদ্দিন")</f>
        <v>খবির উদ্দিন</v>
      </c>
      <c r="F50" s="4" t="str">
        <f>IFERROR(__xludf.DUMMYFUNCTION("""COMPUTED_VALUE"""),"রোকিনা খাতুন")</f>
        <v>রোকিনা খাতুন</v>
      </c>
      <c r="G50" s="4" t="str">
        <f>IFERROR(__xludf.DUMMYFUNCTION("""COMPUTED_VALUE"""),"১২/০২/১৯৬৫")</f>
        <v>১২/০২/১৯৬৫</v>
      </c>
      <c r="H50" s="4" t="str">
        <f>IFERROR(__xludf.DUMMYFUNCTION("""COMPUTED_VALUE"""),"গৃহিনী")</f>
        <v>গৃহিনী</v>
      </c>
      <c r="I50" s="4" t="str">
        <f>IFERROR(__xludf.DUMMYFUNCTION("""COMPUTED_VALUE"""),"""মহিষাখোলা")</f>
        <v>"মহিষাখোলা</v>
      </c>
      <c r="J50" s="4" t="str">
        <f>IFERROR(__xludf.DUMMYFUNCTION("""COMPUTED_VALUE""")," গাংনী")</f>
        <v> গাংনী</v>
      </c>
      <c r="K50" s="4" t="str">
        <f>IFERROR(__xludf.DUMMYFUNCTION("""COMPUTED_VALUE""")," মেহেরপুর""")</f>
        <v> মেহেরপুর"</v>
      </c>
    </row>
    <row r="51" ht="15.75" customHeight="1">
      <c r="A51" s="8" t="s">
        <v>2252</v>
      </c>
      <c r="B51" s="4">
        <f>IFERROR(__xludf.DUMMYFUNCTION("SPLIT(A51,"","")"),52.0)</f>
        <v>52</v>
      </c>
      <c r="C51" s="4" t="str">
        <f>IFERROR(__xludf.DUMMYFUNCTION("""COMPUTED_VALUE"""),"মোছাঃ সানজিদা খাতুন")</f>
        <v>মোছাঃ সানজিদা খাতুন</v>
      </c>
      <c r="D51" s="4">
        <f>IFERROR(__xludf.DUMMYFUNCTION("""COMPUTED_VALUE"""),5.700543774087E12)</f>
        <v>5700543774087</v>
      </c>
      <c r="E51" s="4" t="str">
        <f>IFERROR(__xludf.DUMMYFUNCTION("""COMPUTED_VALUE"""),"মোঃ আমছার")</f>
        <v>মোঃ আমছার</v>
      </c>
      <c r="F51" s="4" t="str">
        <f>IFERROR(__xludf.DUMMYFUNCTION("""COMPUTED_VALUE"""),"মোছাঃ রাবিয়া খাতুন")</f>
        <v>মোছাঃ রাবিয়া খাতুন</v>
      </c>
      <c r="G51" s="4" t="str">
        <f>IFERROR(__xludf.DUMMYFUNCTION("""COMPUTED_VALUE"""),"১৫/০৫/১৯৮৪")</f>
        <v>১৫/০৫/১৯৮৪</v>
      </c>
      <c r="H51" s="4" t="str">
        <f>IFERROR(__xludf.DUMMYFUNCTION("""COMPUTED_VALUE"""),"গৃহিনী")</f>
        <v>গৃহিনী</v>
      </c>
      <c r="I51" s="4" t="str">
        <f>IFERROR(__xludf.DUMMYFUNCTION("""COMPUTED_VALUE"""),"""মহিষাখোলা")</f>
        <v>"মহিষাখোলা</v>
      </c>
      <c r="J51" s="4" t="str">
        <f>IFERROR(__xludf.DUMMYFUNCTION("""COMPUTED_VALUE""")," গাংনী")</f>
        <v> গাংনী</v>
      </c>
      <c r="K51" s="4" t="str">
        <f>IFERROR(__xludf.DUMMYFUNCTION("""COMPUTED_VALUE""")," মেহেরপুর""")</f>
        <v> মেহেরপুর"</v>
      </c>
    </row>
    <row r="52" ht="15.75" customHeight="1">
      <c r="A52" s="8" t="s">
        <v>2253</v>
      </c>
      <c r="B52" s="4">
        <f>IFERROR(__xludf.DUMMYFUNCTION("SPLIT(A52,"","")"),53.0)</f>
        <v>53</v>
      </c>
      <c r="C52" s="4" t="str">
        <f>IFERROR(__xludf.DUMMYFUNCTION("""COMPUTED_VALUE"""),"মোছাঃ রহিমা খাতুন")</f>
        <v>মোছাঃ রহিমা খাতুন</v>
      </c>
      <c r="D52" s="4">
        <f>IFERROR(__xludf.DUMMYFUNCTION("""COMPUTED_VALUE"""),5.700543774088E12)</f>
        <v>5700543774088</v>
      </c>
      <c r="E52" s="4" t="str">
        <f>IFERROR(__xludf.DUMMYFUNCTION("""COMPUTED_VALUE"""),"দাউদ মলিথা")</f>
        <v>দাউদ মলিথা</v>
      </c>
      <c r="F52" s="4" t="str">
        <f>IFERROR(__xludf.DUMMYFUNCTION("""COMPUTED_VALUE"""),"খাইরুন নেছা")</f>
        <v>খাইরুন নেছা</v>
      </c>
      <c r="G52" s="4" t="str">
        <f>IFERROR(__xludf.DUMMYFUNCTION("""COMPUTED_VALUE"""),"১০/০৬/১৯৭৬")</f>
        <v>১০/০৬/১৯৭৬</v>
      </c>
      <c r="H52" s="4" t="str">
        <f>IFERROR(__xludf.DUMMYFUNCTION("""COMPUTED_VALUE"""),"গৃহিনী")</f>
        <v>গৃহিনী</v>
      </c>
      <c r="I52" s="4" t="str">
        <f>IFERROR(__xludf.DUMMYFUNCTION("""COMPUTED_VALUE"""),"""মহিষাখোলা")</f>
        <v>"মহিষাখোলা</v>
      </c>
      <c r="J52" s="4" t="str">
        <f>IFERROR(__xludf.DUMMYFUNCTION("""COMPUTED_VALUE""")," গাংনী")</f>
        <v> গাংনী</v>
      </c>
      <c r="K52" s="4" t="str">
        <f>IFERROR(__xludf.DUMMYFUNCTION("""COMPUTED_VALUE""")," মেহেরপুর""")</f>
        <v> মেহেরপুর"</v>
      </c>
    </row>
    <row r="53" ht="15.75" customHeight="1">
      <c r="A53" s="8" t="s">
        <v>2254</v>
      </c>
      <c r="B53" s="4">
        <f>IFERROR(__xludf.DUMMYFUNCTION("SPLIT(A53,"","")"),54.0)</f>
        <v>54</v>
      </c>
      <c r="C53" s="4" t="str">
        <f>IFERROR(__xludf.DUMMYFUNCTION("""COMPUTED_VALUE"""),"মোছাঃ পাপিয়া খাতুন")</f>
        <v>মোছাঃ পাপিয়া খাতুন</v>
      </c>
      <c r="D53" s="4">
        <f>IFERROR(__xludf.DUMMYFUNCTION("""COMPUTED_VALUE"""),5.70054377409E12)</f>
        <v>5700543774090</v>
      </c>
      <c r="E53" s="4" t="str">
        <f>IFERROR(__xludf.DUMMYFUNCTION("""COMPUTED_VALUE"""),"মোঃ মফু মন্ডল")</f>
        <v>মোঃ মফু মন্ডল</v>
      </c>
      <c r="F53" s="4" t="str">
        <f>IFERROR(__xludf.DUMMYFUNCTION("""COMPUTED_VALUE"""),"মোছাঃ সজিনা")</f>
        <v>মোছাঃ সজিনা</v>
      </c>
      <c r="G53" s="4" t="str">
        <f>IFERROR(__xludf.DUMMYFUNCTION("""COMPUTED_VALUE"""),"২০/১২/১৯৭৩")</f>
        <v>২০/১২/১৯৭৩</v>
      </c>
      <c r="H53" s="4" t="str">
        <f>IFERROR(__xludf.DUMMYFUNCTION("""COMPUTED_VALUE"""),"গৃহিনী")</f>
        <v>গৃহিনী</v>
      </c>
      <c r="I53" s="4" t="str">
        <f>IFERROR(__xludf.DUMMYFUNCTION("""COMPUTED_VALUE"""),"""মহিষাখোলা")</f>
        <v>"মহিষাখোলা</v>
      </c>
      <c r="J53" s="4" t="str">
        <f>IFERROR(__xludf.DUMMYFUNCTION("""COMPUTED_VALUE""")," গাংনী")</f>
        <v> গাংনী</v>
      </c>
      <c r="K53" s="4" t="str">
        <f>IFERROR(__xludf.DUMMYFUNCTION("""COMPUTED_VALUE""")," মেহেরপুর""")</f>
        <v> মেহেরপুর"</v>
      </c>
    </row>
    <row r="54" ht="15.75" customHeight="1">
      <c r="A54" s="8" t="s">
        <v>2255</v>
      </c>
      <c r="B54" s="4">
        <f>IFERROR(__xludf.DUMMYFUNCTION("SPLIT(A54,"","")"),55.0)</f>
        <v>55</v>
      </c>
      <c r="C54" s="4" t="str">
        <f>IFERROR(__xludf.DUMMYFUNCTION("""COMPUTED_VALUE"""),"মোছাঃ হাজেরা খাতুন")</f>
        <v>মোছাঃ হাজেরা খাতুন</v>
      </c>
      <c r="D54" s="4">
        <f>IFERROR(__xludf.DUMMYFUNCTION("""COMPUTED_VALUE"""),5.700543774092E12)</f>
        <v>5700543774092</v>
      </c>
      <c r="E54" s="4" t="str">
        <f>IFERROR(__xludf.DUMMYFUNCTION("""COMPUTED_VALUE"""),"কালাচাঁদ মন্ডল")</f>
        <v>কালাচাঁদ মন্ডল</v>
      </c>
      <c r="F54" s="4" t="str">
        <f>IFERROR(__xludf.DUMMYFUNCTION("""COMPUTED_VALUE"""),"ফাতেমা খাতুন")</f>
        <v>ফাতেমা খাতুন</v>
      </c>
      <c r="G54" s="4" t="str">
        <f>IFERROR(__xludf.DUMMYFUNCTION("""COMPUTED_VALUE"""),"১০/০৪/১৯৬২")</f>
        <v>১০/০৪/১৯৬২</v>
      </c>
      <c r="H54" s="4" t="str">
        <f>IFERROR(__xludf.DUMMYFUNCTION("""COMPUTED_VALUE"""),"গৃহিনী")</f>
        <v>গৃহিনী</v>
      </c>
      <c r="I54" s="4" t="str">
        <f>IFERROR(__xludf.DUMMYFUNCTION("""COMPUTED_VALUE"""),"""মহিষাখোলা")</f>
        <v>"মহিষাখোলা</v>
      </c>
      <c r="J54" s="4" t="str">
        <f>IFERROR(__xludf.DUMMYFUNCTION("""COMPUTED_VALUE""")," গাংনী")</f>
        <v> গাংনী</v>
      </c>
      <c r="K54" s="4" t="str">
        <f>IFERROR(__xludf.DUMMYFUNCTION("""COMPUTED_VALUE""")," মেহেরপুর""")</f>
        <v> মেহেরপুর"</v>
      </c>
    </row>
    <row r="55" ht="15.75" customHeight="1">
      <c r="A55" s="8" t="s">
        <v>2256</v>
      </c>
      <c r="B55" s="4">
        <f>IFERROR(__xludf.DUMMYFUNCTION("SPLIT(A55,"","")"),56.0)</f>
        <v>56</v>
      </c>
      <c r="C55" s="4" t="str">
        <f>IFERROR(__xludf.DUMMYFUNCTION("""COMPUTED_VALUE"""),"মোছাঃ সরলা খাতুন")</f>
        <v>মোছাঃ সরলা খাতুন</v>
      </c>
      <c r="D55" s="4">
        <f>IFERROR(__xludf.DUMMYFUNCTION("""COMPUTED_VALUE"""),5.700543774095E12)</f>
        <v>5700543774095</v>
      </c>
      <c r="E55" s="4" t="str">
        <f>IFERROR(__xludf.DUMMYFUNCTION("""COMPUTED_VALUE"""),"মোঃ ফয়জদ্দীন")</f>
        <v>মোঃ ফয়জদ্দীন</v>
      </c>
      <c r="F55" s="4" t="str">
        <f>IFERROR(__xludf.DUMMYFUNCTION("""COMPUTED_VALUE"""),"মোছাঃ রেজিয়া খাতুন")</f>
        <v>মোছাঃ রেজিয়া খাতুন</v>
      </c>
      <c r="G55" s="4" t="str">
        <f>IFERROR(__xludf.DUMMYFUNCTION("""COMPUTED_VALUE"""),"১০/০৪/১৯৮২")</f>
        <v>১০/০৪/১৯৮২</v>
      </c>
      <c r="H55" s="4" t="str">
        <f>IFERROR(__xludf.DUMMYFUNCTION("""COMPUTED_VALUE"""),"গৃহিনী")</f>
        <v>গৃহিনী</v>
      </c>
      <c r="I55" s="4" t="str">
        <f>IFERROR(__xludf.DUMMYFUNCTION("""COMPUTED_VALUE"""),"""মহিষাখোলা")</f>
        <v>"মহিষাখোলা</v>
      </c>
      <c r="J55" s="4" t="str">
        <f>IFERROR(__xludf.DUMMYFUNCTION("""COMPUTED_VALUE""")," গাংনী")</f>
        <v> গাংনী</v>
      </c>
      <c r="K55" s="4" t="str">
        <f>IFERROR(__xludf.DUMMYFUNCTION("""COMPUTED_VALUE""")," মেহেরপুর""")</f>
        <v> মেহেরপুর"</v>
      </c>
    </row>
    <row r="56" ht="15.75" customHeight="1">
      <c r="A56" s="8" t="s">
        <v>2257</v>
      </c>
      <c r="B56" s="4">
        <f>IFERROR(__xludf.DUMMYFUNCTION("SPLIT(A56,"","")"),57.0)</f>
        <v>57</v>
      </c>
      <c r="C56" s="4" t="str">
        <f>IFERROR(__xludf.DUMMYFUNCTION("""COMPUTED_VALUE"""),"মোছাঃ শেফালী খাতুন")</f>
        <v>মোছাঃ শেফালী খাতুন</v>
      </c>
      <c r="D56" s="4">
        <f>IFERROR(__xludf.DUMMYFUNCTION("""COMPUTED_VALUE"""),5.700543774099E12)</f>
        <v>5700543774099</v>
      </c>
      <c r="E56" s="4" t="str">
        <f>IFERROR(__xludf.DUMMYFUNCTION("""COMPUTED_VALUE"""),"আজগর মন্ডল")</f>
        <v>আজগর মন্ডল</v>
      </c>
      <c r="F56" s="4" t="str">
        <f>IFERROR(__xludf.DUMMYFUNCTION("""COMPUTED_VALUE"""),"মোছাঃ ফুলজান")</f>
        <v>মোছাঃ ফুলজান</v>
      </c>
      <c r="G56" s="4" t="str">
        <f>IFERROR(__xludf.DUMMYFUNCTION("""COMPUTED_VALUE"""),"০৮/০৬/১৯৭৫")</f>
        <v>০৮/০৬/১৯৭৫</v>
      </c>
      <c r="H56" s="4" t="str">
        <f>IFERROR(__xludf.DUMMYFUNCTION("""COMPUTED_VALUE"""),"গৃহিনী")</f>
        <v>গৃহিনী</v>
      </c>
      <c r="I56" s="4" t="str">
        <f>IFERROR(__xludf.DUMMYFUNCTION("""COMPUTED_VALUE"""),"""মহিষাখোলা")</f>
        <v>"মহিষাখোলা</v>
      </c>
      <c r="J56" s="4" t="str">
        <f>IFERROR(__xludf.DUMMYFUNCTION("""COMPUTED_VALUE""")," গাংনী")</f>
        <v> গাংনী</v>
      </c>
      <c r="K56" s="4" t="str">
        <f>IFERROR(__xludf.DUMMYFUNCTION("""COMPUTED_VALUE""")," মেহেরপুর""")</f>
        <v> মেহেরপুর"</v>
      </c>
    </row>
    <row r="57" ht="15.75" customHeight="1">
      <c r="A57" s="8" t="s">
        <v>2258</v>
      </c>
      <c r="B57" s="4">
        <f>IFERROR(__xludf.DUMMYFUNCTION("SPLIT(A57,"","")"),58.0)</f>
        <v>58</v>
      </c>
      <c r="C57" s="4" t="str">
        <f>IFERROR(__xludf.DUMMYFUNCTION("""COMPUTED_VALUE"""),"মোছাঃ রেহেনা খাতুন")</f>
        <v>মোছাঃ রেহেনা খাতুন</v>
      </c>
      <c r="D57" s="4">
        <f>IFERROR(__xludf.DUMMYFUNCTION("""COMPUTED_VALUE"""),5.700543774101E12)</f>
        <v>5700543774101</v>
      </c>
      <c r="E57" s="4" t="str">
        <f>IFERROR(__xludf.DUMMYFUNCTION("""COMPUTED_VALUE"""),"আবুল মন্ডল")</f>
        <v>আবুল মন্ডল</v>
      </c>
      <c r="F57" s="4" t="str">
        <f>IFERROR(__xludf.DUMMYFUNCTION("""COMPUTED_VALUE"""),"মোছাঃ কহিনুর বেগম")</f>
        <v>মোছাঃ কহিনুর বেগম</v>
      </c>
      <c r="G57" s="4" t="str">
        <f>IFERROR(__xludf.DUMMYFUNCTION("""COMPUTED_VALUE"""),"০৫/০৭/১৯৬৯")</f>
        <v>০৫/০৭/১৯৬৯</v>
      </c>
      <c r="H57" s="4" t="str">
        <f>IFERROR(__xludf.DUMMYFUNCTION("""COMPUTED_VALUE"""),"গৃহিনী")</f>
        <v>গৃহিনী</v>
      </c>
      <c r="I57" s="4" t="str">
        <f>IFERROR(__xludf.DUMMYFUNCTION("""COMPUTED_VALUE"""),"""মহিষাখোলা")</f>
        <v>"মহিষাখোলা</v>
      </c>
      <c r="J57" s="4" t="str">
        <f>IFERROR(__xludf.DUMMYFUNCTION("""COMPUTED_VALUE""")," গাংনী")</f>
        <v> গাংনী</v>
      </c>
      <c r="K57" s="4" t="str">
        <f>IFERROR(__xludf.DUMMYFUNCTION("""COMPUTED_VALUE""")," মেহেরপুর""")</f>
        <v> মেহেরপুর"</v>
      </c>
    </row>
    <row r="58" ht="15.75" customHeight="1">
      <c r="A58" s="8" t="s">
        <v>2259</v>
      </c>
      <c r="B58" s="4">
        <f>IFERROR(__xludf.DUMMYFUNCTION("SPLIT(A58,"","")"),59.0)</f>
        <v>59</v>
      </c>
      <c r="C58" s="4" t="str">
        <f>IFERROR(__xludf.DUMMYFUNCTION("""COMPUTED_VALUE"""),"মোছাঃ বিবিজান নেছা")</f>
        <v>মোছাঃ বিবিজান নেছা</v>
      </c>
      <c r="D58" s="4">
        <f>IFERROR(__xludf.DUMMYFUNCTION("""COMPUTED_VALUE"""),5.700543774103E12)</f>
        <v>5700543774103</v>
      </c>
      <c r="E58" s="4" t="str">
        <f>IFERROR(__xludf.DUMMYFUNCTION("""COMPUTED_VALUE"""),"হছেন মালিথা")</f>
        <v>হছেন মালিথা</v>
      </c>
      <c r="F58" s="4" t="str">
        <f>IFERROR(__xludf.DUMMYFUNCTION("""COMPUTED_VALUE"""),"হেনা বেগম")</f>
        <v>হেনা বেগম</v>
      </c>
      <c r="G58" s="4" t="str">
        <f>IFERROR(__xludf.DUMMYFUNCTION("""COMPUTED_VALUE"""),"২০/১০/১৯৪২")</f>
        <v>২০/১০/১৯৪২</v>
      </c>
      <c r="H58" s="4" t="str">
        <f>IFERROR(__xludf.DUMMYFUNCTION("""COMPUTED_VALUE"""),"গৃহিনী")</f>
        <v>গৃহিনী</v>
      </c>
      <c r="I58" s="4" t="str">
        <f>IFERROR(__xludf.DUMMYFUNCTION("""COMPUTED_VALUE"""),"""মহিষাখোলা")</f>
        <v>"মহিষাখোলা</v>
      </c>
      <c r="J58" s="4" t="str">
        <f>IFERROR(__xludf.DUMMYFUNCTION("""COMPUTED_VALUE""")," গাংনী")</f>
        <v> গাংনী</v>
      </c>
      <c r="K58" s="4" t="str">
        <f>IFERROR(__xludf.DUMMYFUNCTION("""COMPUTED_VALUE""")," মেহেরপুর""")</f>
        <v> মেহেরপুর"</v>
      </c>
    </row>
    <row r="59" ht="15.75" customHeight="1">
      <c r="A59" s="8" t="s">
        <v>2260</v>
      </c>
      <c r="B59" s="4">
        <f>IFERROR(__xludf.DUMMYFUNCTION("SPLIT(A59,"","")"),60.0)</f>
        <v>60</v>
      </c>
      <c r="C59" s="4" t="str">
        <f>IFERROR(__xludf.DUMMYFUNCTION("""COMPUTED_VALUE"""),"মোছাঃ বেলি খাতুন")</f>
        <v>মোছাঃ বেলি খাতুন</v>
      </c>
      <c r="D59" s="4">
        <f>IFERROR(__xludf.DUMMYFUNCTION("""COMPUTED_VALUE"""),5.700543774104E12)</f>
        <v>5700543774104</v>
      </c>
      <c r="E59" s="4" t="str">
        <f>IFERROR(__xludf.DUMMYFUNCTION("""COMPUTED_VALUE"""),"মোঃ আবেদ আলী")</f>
        <v>মোঃ আবেদ আলী</v>
      </c>
      <c r="F59" s="4" t="str">
        <f>IFERROR(__xludf.DUMMYFUNCTION("""COMPUTED_VALUE"""),"মোছাঃ সাহার বানু")</f>
        <v>মোছাঃ সাহার বানু</v>
      </c>
      <c r="G59" s="4" t="str">
        <f>IFERROR(__xludf.DUMMYFUNCTION("""COMPUTED_VALUE"""),"২১/১১/১৯৭৩")</f>
        <v>২১/১১/১৯৭৩</v>
      </c>
      <c r="H59" s="4" t="str">
        <f>IFERROR(__xludf.DUMMYFUNCTION("""COMPUTED_VALUE"""),"গৃহিনী")</f>
        <v>গৃহিনী</v>
      </c>
      <c r="I59" s="4" t="str">
        <f>IFERROR(__xludf.DUMMYFUNCTION("""COMPUTED_VALUE"""),"""মহিষাখোলা")</f>
        <v>"মহিষাখোলা</v>
      </c>
      <c r="J59" s="4" t="str">
        <f>IFERROR(__xludf.DUMMYFUNCTION("""COMPUTED_VALUE""")," গাংনী")</f>
        <v> গাংনী</v>
      </c>
      <c r="K59" s="4" t="str">
        <f>IFERROR(__xludf.DUMMYFUNCTION("""COMPUTED_VALUE""")," মেহেরপুর""")</f>
        <v> মেহেরপুর"</v>
      </c>
    </row>
    <row r="60" ht="15.75" customHeight="1">
      <c r="A60" s="8" t="s">
        <v>2261</v>
      </c>
      <c r="B60" s="4">
        <f>IFERROR(__xludf.DUMMYFUNCTION("SPLIT(A60,"","")"),61.0)</f>
        <v>61</v>
      </c>
      <c r="C60" s="4" t="str">
        <f>IFERROR(__xludf.DUMMYFUNCTION("""COMPUTED_VALUE"""),"মোছাঃ হুরজান খাতুন")</f>
        <v>মোছাঃ হুরজান খাতুন</v>
      </c>
      <c r="D60" s="4">
        <f>IFERROR(__xludf.DUMMYFUNCTION("""COMPUTED_VALUE"""),5.700543774105E12)</f>
        <v>5700543774105</v>
      </c>
      <c r="E60" s="4" t="str">
        <f>IFERROR(__xludf.DUMMYFUNCTION("""COMPUTED_VALUE"""),"গোলাম রসুল")</f>
        <v>গোলাম রসুল</v>
      </c>
      <c r="F60" s="4" t="str">
        <f>IFERROR(__xludf.DUMMYFUNCTION("""COMPUTED_VALUE"""),"মোছাঃ হালিমা খাতুন")</f>
        <v>মোছাঃ হালিমা খাতুন</v>
      </c>
      <c r="G60" s="4" t="str">
        <f>IFERROR(__xludf.DUMMYFUNCTION("""COMPUTED_VALUE"""),"১১/০৭/১৯৬৯")</f>
        <v>১১/০৭/১৯৬৯</v>
      </c>
      <c r="H60" s="4" t="str">
        <f>IFERROR(__xludf.DUMMYFUNCTION("""COMPUTED_VALUE"""),"গৃহিনী")</f>
        <v>গৃহিনী</v>
      </c>
      <c r="I60" s="4" t="str">
        <f>IFERROR(__xludf.DUMMYFUNCTION("""COMPUTED_VALUE"""),"""মহিষাখোলা")</f>
        <v>"মহিষাখোলা</v>
      </c>
      <c r="J60" s="4" t="str">
        <f>IFERROR(__xludf.DUMMYFUNCTION("""COMPUTED_VALUE""")," গাংনী")</f>
        <v> গাংনী</v>
      </c>
      <c r="K60" s="4" t="str">
        <f>IFERROR(__xludf.DUMMYFUNCTION("""COMPUTED_VALUE""")," মেহেরপুর""")</f>
        <v> মেহেরপুর"</v>
      </c>
    </row>
    <row r="61" ht="15.75" customHeight="1">
      <c r="A61" s="8" t="s">
        <v>2262</v>
      </c>
      <c r="B61" s="4">
        <f>IFERROR(__xludf.DUMMYFUNCTION("SPLIT(A61,"","")"),62.0)</f>
        <v>62</v>
      </c>
      <c r="C61" s="4" t="str">
        <f>IFERROR(__xludf.DUMMYFUNCTION("""COMPUTED_VALUE"""),"মোছাঃ খাইরুন নেছা")</f>
        <v>মোছাঃ খাইরুন নেছা</v>
      </c>
      <c r="D61" s="4">
        <f>IFERROR(__xludf.DUMMYFUNCTION("""COMPUTED_VALUE"""),5.700543774107E12)</f>
        <v>5700543774107</v>
      </c>
      <c r="E61" s="4" t="str">
        <f>IFERROR(__xludf.DUMMYFUNCTION("""COMPUTED_VALUE"""),"ছাকেন উদ্দীন")</f>
        <v>ছাকেন উদ্দীন</v>
      </c>
      <c r="F61" s="4" t="str">
        <f>IFERROR(__xludf.DUMMYFUNCTION("""COMPUTED_VALUE"""),"গোলজান বিবি")</f>
        <v>গোলজান বিবি</v>
      </c>
      <c r="G61" s="4" t="str">
        <f>IFERROR(__xludf.DUMMYFUNCTION("""COMPUTED_VALUE"""),"১০/০৪/১৯৫৯")</f>
        <v>১০/০৪/১৯৫৯</v>
      </c>
      <c r="H61" s="4" t="str">
        <f>IFERROR(__xludf.DUMMYFUNCTION("""COMPUTED_VALUE"""),"গৃহিনী")</f>
        <v>গৃহিনী</v>
      </c>
      <c r="I61" s="4" t="str">
        <f>IFERROR(__xludf.DUMMYFUNCTION("""COMPUTED_VALUE"""),"""মহিষাখোলা")</f>
        <v>"মহিষাখোলা</v>
      </c>
      <c r="J61" s="4" t="str">
        <f>IFERROR(__xludf.DUMMYFUNCTION("""COMPUTED_VALUE""")," গাংনী")</f>
        <v> গাংনী</v>
      </c>
      <c r="K61" s="4" t="str">
        <f>IFERROR(__xludf.DUMMYFUNCTION("""COMPUTED_VALUE""")," মেহেরপুর""")</f>
        <v> মেহেরপুর"</v>
      </c>
    </row>
    <row r="62" ht="15.75" customHeight="1">
      <c r="A62" s="8" t="s">
        <v>2263</v>
      </c>
      <c r="B62" s="4">
        <f>IFERROR(__xludf.DUMMYFUNCTION("SPLIT(A62,"","")"),64.0)</f>
        <v>64</v>
      </c>
      <c r="C62" s="4" t="str">
        <f>IFERROR(__xludf.DUMMYFUNCTION("""COMPUTED_VALUE"""),"মোছাঃ পাপিয়া খাতুন")</f>
        <v>মোছাঃ পাপিয়া খাতুন</v>
      </c>
      <c r="D62" s="4">
        <f>IFERROR(__xludf.DUMMYFUNCTION("""COMPUTED_VALUE"""),5.70054377411E11)</f>
        <v>570054377411</v>
      </c>
      <c r="E62" s="4" t="str">
        <f>IFERROR(__xludf.DUMMYFUNCTION("""COMPUTED_VALUE"""),"রিয়াজ মন্ডল")</f>
        <v>রিয়াজ মন্ডল</v>
      </c>
      <c r="F62" s="4" t="str">
        <f>IFERROR(__xludf.DUMMYFUNCTION("""COMPUTED_VALUE"""),"মোছাঃ নিবারন নেছা")</f>
        <v>মোছাঃ নিবারন নেছা</v>
      </c>
      <c r="G62" s="4" t="str">
        <f>IFERROR(__xludf.DUMMYFUNCTION("""COMPUTED_VALUE"""),"১০/০৫/১৯৮৬")</f>
        <v>১০/০৫/১৯৮৬</v>
      </c>
      <c r="H62" s="4" t="str">
        <f>IFERROR(__xludf.DUMMYFUNCTION("""COMPUTED_VALUE"""),"গৃহিনী")</f>
        <v>গৃহিনী</v>
      </c>
      <c r="I62" s="4" t="str">
        <f>IFERROR(__xludf.DUMMYFUNCTION("""COMPUTED_VALUE"""),"""মহিষাখোলা")</f>
        <v>"মহিষাখোলা</v>
      </c>
      <c r="J62" s="4" t="str">
        <f>IFERROR(__xludf.DUMMYFUNCTION("""COMPUTED_VALUE""")," গাংনী")</f>
        <v> গাংনী</v>
      </c>
      <c r="K62" s="4" t="str">
        <f>IFERROR(__xludf.DUMMYFUNCTION("""COMPUTED_VALUE""")," মেহেরপুর""")</f>
        <v> মেহেরপুর"</v>
      </c>
    </row>
    <row r="63" ht="15.75" customHeight="1">
      <c r="A63" s="8" t="s">
        <v>2264</v>
      </c>
      <c r="B63" s="4">
        <f>IFERROR(__xludf.DUMMYFUNCTION("SPLIT(A63,"","")"),65.0)</f>
        <v>65</v>
      </c>
      <c r="C63" s="4" t="str">
        <f>IFERROR(__xludf.DUMMYFUNCTION("""COMPUTED_VALUE"""),"মোছাঃ মইফুল নেছা")</f>
        <v>মোছাঃ মইফুল নেছা</v>
      </c>
      <c r="D63" s="4">
        <f>IFERROR(__xludf.DUMMYFUNCTION("""COMPUTED_VALUE"""),5.700543774111E12)</f>
        <v>5700543774111</v>
      </c>
      <c r="E63" s="4" t="str">
        <f>IFERROR(__xludf.DUMMYFUNCTION("""COMPUTED_VALUE"""),"আত্তর আলী")</f>
        <v>আত্তর আলী</v>
      </c>
      <c r="F63" s="4" t="str">
        <f>IFERROR(__xludf.DUMMYFUNCTION("""COMPUTED_VALUE"""),"নীধরী খাতুন")</f>
        <v>নীধরী খাতুন</v>
      </c>
      <c r="G63" s="4" t="str">
        <f>IFERROR(__xludf.DUMMYFUNCTION("""COMPUTED_VALUE"""),"২০/১০/১৯৪৭")</f>
        <v>২০/১০/১৯৪৭</v>
      </c>
      <c r="H63" s="4" t="str">
        <f>IFERROR(__xludf.DUMMYFUNCTION("""COMPUTED_VALUE"""),"গৃহিনী")</f>
        <v>গৃহিনী</v>
      </c>
      <c r="I63" s="4" t="str">
        <f>IFERROR(__xludf.DUMMYFUNCTION("""COMPUTED_VALUE"""),"""মহিষাখোলা")</f>
        <v>"মহিষাখোলা</v>
      </c>
      <c r="J63" s="4" t="str">
        <f>IFERROR(__xludf.DUMMYFUNCTION("""COMPUTED_VALUE""")," গাংনী")</f>
        <v> গাংনী</v>
      </c>
      <c r="K63" s="4" t="str">
        <f>IFERROR(__xludf.DUMMYFUNCTION("""COMPUTED_VALUE""")," মেহেরপুর""")</f>
        <v> মেহেরপুর"</v>
      </c>
    </row>
    <row r="64" ht="15.75" customHeight="1">
      <c r="A64" s="8" t="s">
        <v>2265</v>
      </c>
      <c r="B64" s="4">
        <f>IFERROR(__xludf.DUMMYFUNCTION("SPLIT(A64,"","")"),66.0)</f>
        <v>66</v>
      </c>
      <c r="C64" s="4" t="str">
        <f>IFERROR(__xludf.DUMMYFUNCTION("""COMPUTED_VALUE"""),"মোছাঃ মর্জিনা খাতুন")</f>
        <v>মোছাঃ মর্জিনা খাতুন</v>
      </c>
      <c r="D64" s="4">
        <f>IFERROR(__xludf.DUMMYFUNCTION("""COMPUTED_VALUE"""),5.70054377411E11)</f>
        <v>570054377411</v>
      </c>
      <c r="E64" s="4" t="str">
        <f>IFERROR(__xludf.DUMMYFUNCTION("""COMPUTED_VALUE"""),"শহিদ বকস")</f>
        <v>শহিদ বকস</v>
      </c>
      <c r="F64" s="4" t="str">
        <f>IFERROR(__xludf.DUMMYFUNCTION("""COMPUTED_VALUE"""),"মোছাঃ নুরজাহান বেগম")</f>
        <v>মোছাঃ নুরজাহান বেগম</v>
      </c>
      <c r="G64" s="4" t="str">
        <f>IFERROR(__xludf.DUMMYFUNCTION("""COMPUTED_VALUE"""),"০৬/০৫/১৯৬৯")</f>
        <v>০৬/০৫/১৯৬৯</v>
      </c>
      <c r="H64" s="4" t="str">
        <f>IFERROR(__xludf.DUMMYFUNCTION("""COMPUTED_VALUE"""),"গৃহিনী")</f>
        <v>গৃহিনী</v>
      </c>
      <c r="I64" s="4" t="str">
        <f>IFERROR(__xludf.DUMMYFUNCTION("""COMPUTED_VALUE"""),"""মহিষাখোলা")</f>
        <v>"মহিষাখোলা</v>
      </c>
      <c r="J64" s="4" t="str">
        <f>IFERROR(__xludf.DUMMYFUNCTION("""COMPUTED_VALUE""")," গাংনী")</f>
        <v> গাংনী</v>
      </c>
      <c r="K64" s="4" t="str">
        <f>IFERROR(__xludf.DUMMYFUNCTION("""COMPUTED_VALUE""")," মেহেরপুর""")</f>
        <v> মেহেরপুর"</v>
      </c>
    </row>
    <row r="65" ht="15.75" customHeight="1">
      <c r="A65" s="8" t="s">
        <v>2266</v>
      </c>
      <c r="B65" s="4">
        <f>IFERROR(__xludf.DUMMYFUNCTION("SPLIT(A65,"","")"),67.0)</f>
        <v>67</v>
      </c>
      <c r="C65" s="4" t="str">
        <f>IFERROR(__xludf.DUMMYFUNCTION("""COMPUTED_VALUE"""),"মোছাঃ মুর্শিদা খাতুন")</f>
        <v>মোছাঃ মুর্শিদা খাতুন</v>
      </c>
      <c r="D65" s="4">
        <f>IFERROR(__xludf.DUMMYFUNCTION("""COMPUTED_VALUE"""),5.700543774113E12)</f>
        <v>5700543774113</v>
      </c>
      <c r="E65" s="4" t="str">
        <f>IFERROR(__xludf.DUMMYFUNCTION("""COMPUTED_VALUE"""),"শহিদ বকস")</f>
        <v>শহিদ বকস</v>
      </c>
      <c r="F65" s="4" t="str">
        <f>IFERROR(__xludf.DUMMYFUNCTION("""COMPUTED_VALUE"""),"মোছাঃ তাহারন খাতুন")</f>
        <v>মোছাঃ তাহারন খাতুন</v>
      </c>
      <c r="G65" s="4" t="str">
        <f>IFERROR(__xludf.DUMMYFUNCTION("""COMPUTED_VALUE"""),"২৫/০৬/১৯৮৮")</f>
        <v>২৫/০৬/১৯৮৮</v>
      </c>
      <c r="H65" s="4" t="str">
        <f>IFERROR(__xludf.DUMMYFUNCTION("""COMPUTED_VALUE"""),"গৃহিনী")</f>
        <v>গৃহিনী</v>
      </c>
      <c r="I65" s="4" t="str">
        <f>IFERROR(__xludf.DUMMYFUNCTION("""COMPUTED_VALUE"""),"""মহিষাখোলা")</f>
        <v>"মহিষাখোলা</v>
      </c>
      <c r="J65" s="4" t="str">
        <f>IFERROR(__xludf.DUMMYFUNCTION("""COMPUTED_VALUE""")," গাংনী")</f>
        <v> গাংনী</v>
      </c>
      <c r="K65" s="4" t="str">
        <f>IFERROR(__xludf.DUMMYFUNCTION("""COMPUTED_VALUE""")," মেহেরপুর""")</f>
        <v> মেহেরপুর"</v>
      </c>
    </row>
    <row r="66" ht="15.75" customHeight="1">
      <c r="A66" s="8" t="s">
        <v>2267</v>
      </c>
      <c r="B66" s="4">
        <f>IFERROR(__xludf.DUMMYFUNCTION("SPLIT(A66,"","")"),68.0)</f>
        <v>68</v>
      </c>
      <c r="C66" s="4" t="str">
        <f>IFERROR(__xludf.DUMMYFUNCTION("""COMPUTED_VALUE"""),"মোছাঃ ছালমা খাতুন")</f>
        <v>মোছাঃ ছালমা খাতুন</v>
      </c>
      <c r="D66" s="4" t="str">
        <f>IFERROR(__xludf.DUMMYFUNCTION("""COMPUTED_VALUE"""),"৫৭০০৫৪৩৭৭৪ ১১৪")</f>
        <v>৫৭০০৫৪৩৭৭৪ ১১৪</v>
      </c>
      <c r="E66" s="4" t="str">
        <f>IFERROR(__xludf.DUMMYFUNCTION("""COMPUTED_VALUE"""),"মোঃ আলেক হোসেন")</f>
        <v>মোঃ আলেক হোসেন</v>
      </c>
      <c r="F66" s="4" t="str">
        <f>IFERROR(__xludf.DUMMYFUNCTION("""COMPUTED_VALUE"""),"মোছাঃ আংগুরা খাতুন")</f>
        <v>মোছাঃ আংগুরা খাতুন</v>
      </c>
      <c r="G66" s="4" t="str">
        <f>IFERROR(__xludf.DUMMYFUNCTION("""COMPUTED_VALUE"""),"০৫/০৭/১৯৮৪")</f>
        <v>০৫/০৭/১৯৮৪</v>
      </c>
      <c r="H66" s="4" t="str">
        <f>IFERROR(__xludf.DUMMYFUNCTION("""COMPUTED_VALUE"""),"গৃহিনী")</f>
        <v>গৃহিনী</v>
      </c>
      <c r="I66" s="4" t="str">
        <f>IFERROR(__xludf.DUMMYFUNCTION("""COMPUTED_VALUE"""),"""মহিষাখোলা")</f>
        <v>"মহিষাখোলা</v>
      </c>
      <c r="J66" s="4" t="str">
        <f>IFERROR(__xludf.DUMMYFUNCTION("""COMPUTED_VALUE""")," গাংনী")</f>
        <v> গাংনী</v>
      </c>
      <c r="K66" s="4" t="str">
        <f>IFERROR(__xludf.DUMMYFUNCTION("""COMPUTED_VALUE""")," মেহেরপুর""")</f>
        <v> মেহেরপুর"</v>
      </c>
    </row>
    <row r="67" ht="15.75" customHeight="1">
      <c r="A67" s="8" t="s">
        <v>2268</v>
      </c>
      <c r="B67" s="4">
        <f>IFERROR(__xludf.DUMMYFUNCTION("SPLIT(A67,"","")"),69.0)</f>
        <v>69</v>
      </c>
      <c r="C67" s="4" t="str">
        <f>IFERROR(__xludf.DUMMYFUNCTION("""COMPUTED_VALUE"""),"মোছাঃ খালেদা খাতুন")</f>
        <v>মোছাঃ খালেদা খাতুন</v>
      </c>
      <c r="D67" s="4" t="str">
        <f>IFERROR(__xludf.DUMMYFUNCTION("""COMPUTED_VALUE"""),"৫৭০০৫৪৩৭৭৪ ১১৪")</f>
        <v>৫৭০০৫৪৩৭৭৪ ১১৪</v>
      </c>
      <c r="E67" s="4" t="str">
        <f>IFERROR(__xludf.DUMMYFUNCTION("""COMPUTED_VALUE"""),"নুর ইসলাম মুন্সি")</f>
        <v>নুর ইসলাম মুন্সি</v>
      </c>
      <c r="F67" s="4" t="str">
        <f>IFERROR(__xludf.DUMMYFUNCTION("""COMPUTED_VALUE"""),"মোছাঃ রুপিয়া খাতুন")</f>
        <v>মোছাঃ রুপিয়া খাতুন</v>
      </c>
      <c r="G67" s="4" t="str">
        <f>IFERROR(__xludf.DUMMYFUNCTION("""COMPUTED_VALUE"""),"০৬/০৯/১৯৬৭")</f>
        <v>০৬/০৯/১৯৬৭</v>
      </c>
      <c r="H67" s="4" t="str">
        <f>IFERROR(__xludf.DUMMYFUNCTION("""COMPUTED_VALUE"""),"গৃহিনী")</f>
        <v>গৃহিনী</v>
      </c>
      <c r="I67" s="4" t="str">
        <f>IFERROR(__xludf.DUMMYFUNCTION("""COMPUTED_VALUE"""),"""মহিষাখোলা")</f>
        <v>"মহিষাখোলা</v>
      </c>
      <c r="J67" s="4" t="str">
        <f>IFERROR(__xludf.DUMMYFUNCTION("""COMPUTED_VALUE""")," গাংনী")</f>
        <v> গাংনী</v>
      </c>
      <c r="K67" s="4" t="str">
        <f>IFERROR(__xludf.DUMMYFUNCTION("""COMPUTED_VALUE""")," মেহেরপুর""")</f>
        <v> মেহেরপুর"</v>
      </c>
    </row>
    <row r="68" ht="15.75" customHeight="1">
      <c r="A68" s="8" t="s">
        <v>2269</v>
      </c>
      <c r="B68" s="4">
        <f>IFERROR(__xludf.DUMMYFUNCTION("SPLIT(A68,"","")"),70.0)</f>
        <v>70</v>
      </c>
      <c r="C68" s="4" t="str">
        <f>IFERROR(__xludf.DUMMYFUNCTION("""COMPUTED_VALUE"""),"মোছাঃ ছবেদা খাতুন")</f>
        <v>মোছাঃ ছবেদা খাতুন</v>
      </c>
      <c r="D68" s="4">
        <f>IFERROR(__xludf.DUMMYFUNCTION("""COMPUTED_VALUE"""),5.700543774116E12)</f>
        <v>5700543774116</v>
      </c>
      <c r="E68" s="4" t="str">
        <f>IFERROR(__xludf.DUMMYFUNCTION("""COMPUTED_VALUE"""),"নূর বকস মন্ডল")</f>
        <v>নূর বকস মন্ডল</v>
      </c>
      <c r="F68" s="4" t="str">
        <f>IFERROR(__xludf.DUMMYFUNCTION("""COMPUTED_VALUE"""),"মোছাঃ ছারা খাতুন")</f>
        <v>মোছাঃ ছারা খাতুন</v>
      </c>
      <c r="G68" s="4" t="str">
        <f>IFERROR(__xludf.DUMMYFUNCTION("""COMPUTED_VALUE"""),"২৮/০৬/১৯৭১")</f>
        <v>২৮/০৬/১৯৭১</v>
      </c>
      <c r="H68" s="4" t="str">
        <f>IFERROR(__xludf.DUMMYFUNCTION("""COMPUTED_VALUE"""),"গৃহিনী")</f>
        <v>গৃহিনী</v>
      </c>
      <c r="I68" s="4" t="str">
        <f>IFERROR(__xludf.DUMMYFUNCTION("""COMPUTED_VALUE"""),"""মহিষাখোলা")</f>
        <v>"মহিষাখোলা</v>
      </c>
      <c r="J68" s="4" t="str">
        <f>IFERROR(__xludf.DUMMYFUNCTION("""COMPUTED_VALUE""")," গাংনী")</f>
        <v> গাংনী</v>
      </c>
      <c r="K68" s="4" t="str">
        <f>IFERROR(__xludf.DUMMYFUNCTION("""COMPUTED_VALUE""")," মেহেরপুর""")</f>
        <v> মেহেরপুর"</v>
      </c>
    </row>
    <row r="69" ht="15.75" customHeight="1">
      <c r="A69" s="8" t="s">
        <v>2270</v>
      </c>
      <c r="B69" s="4">
        <f>IFERROR(__xludf.DUMMYFUNCTION("SPLIT(A69,"","")"),71.0)</f>
        <v>71</v>
      </c>
      <c r="C69" s="4" t="str">
        <f>IFERROR(__xludf.DUMMYFUNCTION("""COMPUTED_VALUE"""),"মোছাঃ হরিছন নেছা")</f>
        <v>মোছাঃ হরিছন নেছা</v>
      </c>
      <c r="D69" s="4">
        <f>IFERROR(__xludf.DUMMYFUNCTION("""COMPUTED_VALUE"""),5.700543774122E12)</f>
        <v>5700543774122</v>
      </c>
      <c r="E69" s="4" t="str">
        <f>IFERROR(__xludf.DUMMYFUNCTION("""COMPUTED_VALUE"""),"হায়দার আলী")</f>
        <v>হায়দার আলী</v>
      </c>
      <c r="F69" s="4" t="str">
        <f>IFERROR(__xludf.DUMMYFUNCTION("""COMPUTED_VALUE"""),"মোছাঃ গুলনাহার বেগম")</f>
        <v>মোছাঃ গুলনাহার বেগম</v>
      </c>
      <c r="G69" s="4" t="str">
        <f>IFERROR(__xludf.DUMMYFUNCTION("""COMPUTED_VALUE"""),"০৫/১১/১৯৭৯")</f>
        <v>০৫/১১/১৯৭৯</v>
      </c>
      <c r="H69" s="4" t="str">
        <f>IFERROR(__xludf.DUMMYFUNCTION("""COMPUTED_VALUE"""),"গৃহিনী")</f>
        <v>গৃহিনী</v>
      </c>
      <c r="I69" s="4" t="str">
        <f>IFERROR(__xludf.DUMMYFUNCTION("""COMPUTED_VALUE"""),"""মহিষাখোলা")</f>
        <v>"মহিষাখোলা</v>
      </c>
      <c r="J69" s="4" t="str">
        <f>IFERROR(__xludf.DUMMYFUNCTION("""COMPUTED_VALUE""")," গাংনী")</f>
        <v> গাংনী</v>
      </c>
      <c r="K69" s="4" t="str">
        <f>IFERROR(__xludf.DUMMYFUNCTION("""COMPUTED_VALUE""")," মেহেরপুর""")</f>
        <v> মেহেরপুর"</v>
      </c>
    </row>
    <row r="70" ht="15.75" customHeight="1">
      <c r="A70" s="8" t="s">
        <v>2271</v>
      </c>
      <c r="B70" s="4">
        <f>IFERROR(__xludf.DUMMYFUNCTION("SPLIT(A70,"","")"),72.0)</f>
        <v>72</v>
      </c>
      <c r="C70" s="4" t="str">
        <f>IFERROR(__xludf.DUMMYFUNCTION("""COMPUTED_VALUE"""),"মোছাঃ গুলনাহার বেগম")</f>
        <v>মোছাঃ গুলনাহার বেগম</v>
      </c>
      <c r="D70" s="4">
        <f>IFERROR(__xludf.DUMMYFUNCTION("""COMPUTED_VALUE"""),5.700543774123E12)</f>
        <v>5700543774123</v>
      </c>
      <c r="E70" s="4" t="str">
        <f>IFERROR(__xludf.DUMMYFUNCTION("""COMPUTED_VALUE"""),"পিয়ার বকস")</f>
        <v>পিয়ার বকস</v>
      </c>
      <c r="F70" s="4" t="str">
        <f>IFERROR(__xludf.DUMMYFUNCTION("""COMPUTED_VALUE"""),"মোছাঃ মর্জিনা বেগম")</f>
        <v>মোছাঃ মর্জিনা বেগম</v>
      </c>
      <c r="G70" s="4" t="str">
        <f>IFERROR(__xludf.DUMMYFUNCTION("""COMPUTED_VALUE"""),"১৫/১০/১৯৬৪")</f>
        <v>১৫/১০/১৯৬৪</v>
      </c>
      <c r="H70" s="4" t="str">
        <f>IFERROR(__xludf.DUMMYFUNCTION("""COMPUTED_VALUE"""),"গৃহিনী")</f>
        <v>গৃহিনী</v>
      </c>
      <c r="I70" s="4" t="str">
        <f>IFERROR(__xludf.DUMMYFUNCTION("""COMPUTED_VALUE"""),"""মহিষাখোলা")</f>
        <v>"মহিষাখোলা</v>
      </c>
      <c r="J70" s="4" t="str">
        <f>IFERROR(__xludf.DUMMYFUNCTION("""COMPUTED_VALUE""")," গাংনী")</f>
        <v> গাংনী</v>
      </c>
      <c r="K70" s="4" t="str">
        <f>IFERROR(__xludf.DUMMYFUNCTION("""COMPUTED_VALUE""")," মেহেরপুর""")</f>
        <v> মেহেরপুর"</v>
      </c>
    </row>
    <row r="71" ht="15.75" customHeight="1">
      <c r="A71" s="8" t="s">
        <v>2272</v>
      </c>
      <c r="B71" s="4">
        <f>IFERROR(__xludf.DUMMYFUNCTION("SPLIT(A71,"","")"),73.0)</f>
        <v>73</v>
      </c>
      <c r="C71" s="4" t="str">
        <f>IFERROR(__xludf.DUMMYFUNCTION("""COMPUTED_VALUE"""),"মোছাঃ বানুয়ারা খাতুন")</f>
        <v>মোছাঃ বানুয়ারা খাতুন</v>
      </c>
      <c r="D71" s="4">
        <f>IFERROR(__xludf.DUMMYFUNCTION("""COMPUTED_VALUE"""),5.700543774124E12)</f>
        <v>5700543774124</v>
      </c>
      <c r="E71" s="4" t="str">
        <f>IFERROR(__xludf.DUMMYFUNCTION("""COMPUTED_VALUE"""),"জুড়োন মল্লিক")</f>
        <v>জুড়োন মল্লিক</v>
      </c>
      <c r="F71" s="4" t="str">
        <f>IFERROR(__xludf.DUMMYFUNCTION("""COMPUTED_VALUE"""),"হেকেরজান খাতুন")</f>
        <v>হেকেরজান খাতুন</v>
      </c>
      <c r="G71" s="4" t="str">
        <f>IFERROR(__xludf.DUMMYFUNCTION("""COMPUTED_VALUE"""),"১০/১১/১৯৭০")</f>
        <v>১০/১১/১৯৭০</v>
      </c>
      <c r="H71" s="4" t="str">
        <f>IFERROR(__xludf.DUMMYFUNCTION("""COMPUTED_VALUE"""),"গৃহিনী")</f>
        <v>গৃহিনী</v>
      </c>
      <c r="I71" s="4" t="str">
        <f>IFERROR(__xludf.DUMMYFUNCTION("""COMPUTED_VALUE"""),"""মহিষাখোলা")</f>
        <v>"মহিষাখোলা</v>
      </c>
      <c r="J71" s="4" t="str">
        <f>IFERROR(__xludf.DUMMYFUNCTION("""COMPUTED_VALUE""")," গাংনী")</f>
        <v> গাংনী</v>
      </c>
      <c r="K71" s="4" t="str">
        <f>IFERROR(__xludf.DUMMYFUNCTION("""COMPUTED_VALUE""")," মেহেরপুর""")</f>
        <v> মেহেরপুর"</v>
      </c>
    </row>
    <row r="72" ht="15.75" customHeight="1">
      <c r="A72" s="8" t="s">
        <v>2273</v>
      </c>
      <c r="B72" s="4">
        <f>IFERROR(__xludf.DUMMYFUNCTION("SPLIT(A72,"","")"),74.0)</f>
        <v>74</v>
      </c>
      <c r="C72" s="4" t="str">
        <f>IFERROR(__xludf.DUMMYFUNCTION("""COMPUTED_VALUE"""),"মোছাঃ তোজিনা খাতুন")</f>
        <v>মোছাঃ তোজিনা খাতুন</v>
      </c>
      <c r="D72" s="4">
        <f>IFERROR(__xludf.DUMMYFUNCTION("""COMPUTED_VALUE"""),5.700543774126E12)</f>
        <v>5700543774126</v>
      </c>
      <c r="E72" s="4" t="str">
        <f>IFERROR(__xludf.DUMMYFUNCTION("""COMPUTED_VALUE"""),"মোঃ আঃ খালেক")</f>
        <v>মোঃ আঃ খালেক</v>
      </c>
      <c r="F72" s="4" t="str">
        <f>IFERROR(__xludf.DUMMYFUNCTION("""COMPUTED_VALUE"""),"মোছাঃ জরিনা খাতুন")</f>
        <v>মোছাঃ জরিনা খাতুন</v>
      </c>
      <c r="G72" s="4" t="str">
        <f>IFERROR(__xludf.DUMMYFUNCTION("""COMPUTED_VALUE"""),"১৫/০৭/১৯৮১")</f>
        <v>১৫/০৭/১৯৮১</v>
      </c>
      <c r="H72" s="4" t="str">
        <f>IFERROR(__xludf.DUMMYFUNCTION("""COMPUTED_VALUE"""),"গৃহিনী")</f>
        <v>গৃহিনী</v>
      </c>
      <c r="I72" s="4" t="str">
        <f>IFERROR(__xludf.DUMMYFUNCTION("""COMPUTED_VALUE"""),"""মহিষাখোলা")</f>
        <v>"মহিষাখোলা</v>
      </c>
      <c r="J72" s="4" t="str">
        <f>IFERROR(__xludf.DUMMYFUNCTION("""COMPUTED_VALUE""")," গাংনী")</f>
        <v> গাংনী</v>
      </c>
      <c r="K72" s="4" t="str">
        <f>IFERROR(__xludf.DUMMYFUNCTION("""COMPUTED_VALUE""")," মেহেরপুর""")</f>
        <v> মেহেরপুর"</v>
      </c>
    </row>
    <row r="73" ht="15.75" customHeight="1">
      <c r="A73" s="8" t="s">
        <v>2274</v>
      </c>
      <c r="B73" s="4">
        <f>IFERROR(__xludf.DUMMYFUNCTION("SPLIT(A73,"","")"),75.0)</f>
        <v>75</v>
      </c>
      <c r="C73" s="4" t="str">
        <f>IFERROR(__xludf.DUMMYFUNCTION("""COMPUTED_VALUE"""),"মোছাঃ নছিমন নেছা")</f>
        <v>মোছাঃ নছিমন নেছা</v>
      </c>
      <c r="D73" s="4">
        <f>IFERROR(__xludf.DUMMYFUNCTION("""COMPUTED_VALUE"""),5.700543774127E12)</f>
        <v>5700543774127</v>
      </c>
      <c r="E73" s="4" t="str">
        <f>IFERROR(__xludf.DUMMYFUNCTION("""COMPUTED_VALUE"""),"চামছুদ্দীন মন্ডল")</f>
        <v>চামছুদ্দীন মন্ডল</v>
      </c>
      <c r="F73" s="4" t="str">
        <f>IFERROR(__xludf.DUMMYFUNCTION("""COMPUTED_VALUE"""),"আমেনা খাতুন")</f>
        <v>আমেনা খাতুন</v>
      </c>
      <c r="G73" s="4" t="str">
        <f>IFERROR(__xludf.DUMMYFUNCTION("""COMPUTED_VALUE"""),"০৫/১০/১৯৩৭")</f>
        <v>০৫/১০/১৯৩৭</v>
      </c>
      <c r="H73" s="4" t="str">
        <f>IFERROR(__xludf.DUMMYFUNCTION("""COMPUTED_VALUE"""),"গৃহিনী")</f>
        <v>গৃহিনী</v>
      </c>
      <c r="I73" s="4" t="str">
        <f>IFERROR(__xludf.DUMMYFUNCTION("""COMPUTED_VALUE"""),"""মহিষাখোলা")</f>
        <v>"মহিষাখোলা</v>
      </c>
      <c r="J73" s="4" t="str">
        <f>IFERROR(__xludf.DUMMYFUNCTION("""COMPUTED_VALUE""")," গাংনী")</f>
        <v> গাংনী</v>
      </c>
      <c r="K73" s="4" t="str">
        <f>IFERROR(__xludf.DUMMYFUNCTION("""COMPUTED_VALUE""")," মেহেরপুর""")</f>
        <v> মেহেরপুর"</v>
      </c>
    </row>
    <row r="74" ht="15.75" customHeight="1">
      <c r="A74" s="8" t="s">
        <v>2275</v>
      </c>
      <c r="B74" s="4">
        <f>IFERROR(__xludf.DUMMYFUNCTION("SPLIT(A74,"","")"),76.0)</f>
        <v>76</v>
      </c>
      <c r="C74" s="4" t="str">
        <f>IFERROR(__xludf.DUMMYFUNCTION("""COMPUTED_VALUE"""),"মোছাঃ মনোয়ারা খাতুন")</f>
        <v>মোছাঃ মনোয়ারা খাতুন</v>
      </c>
      <c r="D74" s="4">
        <f>IFERROR(__xludf.DUMMYFUNCTION("""COMPUTED_VALUE"""),5.700543774128E12)</f>
        <v>5700543774128</v>
      </c>
      <c r="E74" s="4" t="str">
        <f>IFERROR(__xludf.DUMMYFUNCTION("""COMPUTED_VALUE"""),"দিদার বিশ্বাস")</f>
        <v>দিদার বিশ্বাস</v>
      </c>
      <c r="F74" s="4" t="str">
        <f>IFERROR(__xludf.DUMMYFUNCTION("""COMPUTED_VALUE"""),"মোছাঃ নছিমন নেছা")</f>
        <v>মোছাঃ নছিমন নেছা</v>
      </c>
      <c r="G74" s="4" t="str">
        <f>IFERROR(__xludf.DUMMYFUNCTION("""COMPUTED_VALUE"""),"১৪/০৮/১৯৭৩")</f>
        <v>১৪/০৮/১৯৭৩</v>
      </c>
      <c r="H74" s="4" t="str">
        <f>IFERROR(__xludf.DUMMYFUNCTION("""COMPUTED_VALUE"""),"গৃহিনী")</f>
        <v>গৃহিনী</v>
      </c>
      <c r="I74" s="4" t="str">
        <f>IFERROR(__xludf.DUMMYFUNCTION("""COMPUTED_VALUE"""),"""মহিষাখোলা")</f>
        <v>"মহিষাখোলা</v>
      </c>
      <c r="J74" s="4" t="str">
        <f>IFERROR(__xludf.DUMMYFUNCTION("""COMPUTED_VALUE""")," গাংনী")</f>
        <v> গাংনী</v>
      </c>
      <c r="K74" s="4" t="str">
        <f>IFERROR(__xludf.DUMMYFUNCTION("""COMPUTED_VALUE""")," মেহেরপুর""")</f>
        <v> মেহেরপুর"</v>
      </c>
    </row>
    <row r="75" ht="15.75" customHeight="1">
      <c r="A75" s="8" t="s">
        <v>2276</v>
      </c>
      <c r="B75" s="4">
        <f>IFERROR(__xludf.DUMMYFUNCTION("SPLIT(A75,"","")"),77.0)</f>
        <v>77</v>
      </c>
      <c r="C75" s="4" t="str">
        <f>IFERROR(__xludf.DUMMYFUNCTION("""COMPUTED_VALUE"""),"মোছাঃ রওশনারা খাতুন")</f>
        <v>মোছাঃ রওশনারা খাতুন</v>
      </c>
      <c r="D75" s="4">
        <f>IFERROR(__xludf.DUMMYFUNCTION("""COMPUTED_VALUE"""),5.700543774129E12)</f>
        <v>5700543774129</v>
      </c>
      <c r="E75" s="4" t="str">
        <f>IFERROR(__xludf.DUMMYFUNCTION("""COMPUTED_VALUE"""),"মোঃ ইউনুচ মোল্লা")</f>
        <v>মোঃ ইউনুচ মোল্লা</v>
      </c>
      <c r="F75" s="4" t="str">
        <f>IFERROR(__xludf.DUMMYFUNCTION("""COMPUTED_VALUE"""),"মোছাঃ হাওযা খাতুন")</f>
        <v>মোছাঃ হাওযা খাতুন</v>
      </c>
      <c r="G75" s="4" t="str">
        <f>IFERROR(__xludf.DUMMYFUNCTION("""COMPUTED_VALUE"""),"১০/০৮/১৯৭১")</f>
        <v>১০/০৮/১৯৭১</v>
      </c>
      <c r="H75" s="4" t="str">
        <f>IFERROR(__xludf.DUMMYFUNCTION("""COMPUTED_VALUE"""),"গৃহিনী")</f>
        <v>গৃহিনী</v>
      </c>
      <c r="I75" s="4" t="str">
        <f>IFERROR(__xludf.DUMMYFUNCTION("""COMPUTED_VALUE"""),"""মহিষাখোলা")</f>
        <v>"মহিষাখোলা</v>
      </c>
      <c r="J75" s="4" t="str">
        <f>IFERROR(__xludf.DUMMYFUNCTION("""COMPUTED_VALUE""")," গাংনী")</f>
        <v> গাংনী</v>
      </c>
      <c r="K75" s="4" t="str">
        <f>IFERROR(__xludf.DUMMYFUNCTION("""COMPUTED_VALUE""")," মেহেরপুর""")</f>
        <v> মেহেরপুর"</v>
      </c>
    </row>
    <row r="76" ht="15.75" customHeight="1">
      <c r="A76" s="8" t="s">
        <v>2277</v>
      </c>
      <c r="B76" s="4">
        <f>IFERROR(__xludf.DUMMYFUNCTION("SPLIT(A76,"","")"),78.0)</f>
        <v>78</v>
      </c>
      <c r="C76" s="4" t="str">
        <f>IFERROR(__xludf.DUMMYFUNCTION("""COMPUTED_VALUE"""),"মোছাঃ হামেদা খাতুন")</f>
        <v>মোছাঃ হামেদা খাতুন</v>
      </c>
      <c r="D76" s="4">
        <f>IFERROR(__xludf.DUMMYFUNCTION("""COMPUTED_VALUE"""),5.700543774131E12)</f>
        <v>5700543774131</v>
      </c>
      <c r="E76" s="4" t="str">
        <f>IFERROR(__xludf.DUMMYFUNCTION("""COMPUTED_VALUE"""),"হাকিন উদ্দীন")</f>
        <v>হাকিন উদ্দীন</v>
      </c>
      <c r="F76" s="4" t="str">
        <f>IFERROR(__xludf.DUMMYFUNCTION("""COMPUTED_VALUE"""),"গোলেজান নেছা")</f>
        <v>গোলেজান নেছা</v>
      </c>
      <c r="G76" s="4" t="str">
        <f>IFERROR(__xludf.DUMMYFUNCTION("""COMPUTED_VALUE"""),"২০/০৭/১৯৫২")</f>
        <v>২০/০৭/১৯৫২</v>
      </c>
      <c r="H76" s="4" t="str">
        <f>IFERROR(__xludf.DUMMYFUNCTION("""COMPUTED_VALUE"""),"গৃহিনী")</f>
        <v>গৃহিনী</v>
      </c>
      <c r="I76" s="4" t="str">
        <f>IFERROR(__xludf.DUMMYFUNCTION("""COMPUTED_VALUE"""),"""মহিষাখোলা")</f>
        <v>"মহিষাখোলা</v>
      </c>
      <c r="J76" s="4" t="str">
        <f>IFERROR(__xludf.DUMMYFUNCTION("""COMPUTED_VALUE""")," গাংনী")</f>
        <v> গাংনী</v>
      </c>
      <c r="K76" s="4" t="str">
        <f>IFERROR(__xludf.DUMMYFUNCTION("""COMPUTED_VALUE""")," মেহেরপুর""")</f>
        <v> মেহেরপুর"</v>
      </c>
    </row>
    <row r="77" ht="15.75" customHeight="1">
      <c r="A77" s="8" t="s">
        <v>2278</v>
      </c>
      <c r="B77" s="4">
        <f>IFERROR(__xludf.DUMMYFUNCTION("SPLIT(A77,"","")"),79.0)</f>
        <v>79</v>
      </c>
      <c r="C77" s="4" t="str">
        <f>IFERROR(__xludf.DUMMYFUNCTION("""COMPUTED_VALUE"""),"মোছাঃ নুরজাহান খাতুন")</f>
        <v>মোছাঃ নুরজাহান খাতুন</v>
      </c>
      <c r="D77" s="4">
        <f>IFERROR(__xludf.DUMMYFUNCTION("""COMPUTED_VALUE"""),5.700543774134E12)</f>
        <v>5700543774134</v>
      </c>
      <c r="E77" s="4" t="str">
        <f>IFERROR(__xludf.DUMMYFUNCTION("""COMPUTED_VALUE"""),"দিদার বিশ্বাস")</f>
        <v>দিদার বিশ্বাস</v>
      </c>
      <c r="F77" s="4" t="str">
        <f>IFERROR(__xludf.DUMMYFUNCTION("""COMPUTED_VALUE"""),"মোছাঃ নছিমন খাতুন")</f>
        <v>মোছাঃ নছিমন খাতুন</v>
      </c>
      <c r="G77" s="4" t="str">
        <f>IFERROR(__xludf.DUMMYFUNCTION("""COMPUTED_VALUE"""),"২০/১১/১৯৫২")</f>
        <v>২০/১১/১৯৫২</v>
      </c>
      <c r="H77" s="4" t="str">
        <f>IFERROR(__xludf.DUMMYFUNCTION("""COMPUTED_VALUE"""),"গৃহিনী")</f>
        <v>গৃহিনী</v>
      </c>
      <c r="I77" s="4" t="str">
        <f>IFERROR(__xludf.DUMMYFUNCTION("""COMPUTED_VALUE"""),"""মহিষাখোলা")</f>
        <v>"মহিষাখোলা</v>
      </c>
      <c r="J77" s="4" t="str">
        <f>IFERROR(__xludf.DUMMYFUNCTION("""COMPUTED_VALUE""")," গাংনী")</f>
        <v> গাংনী</v>
      </c>
      <c r="K77" s="4" t="str">
        <f>IFERROR(__xludf.DUMMYFUNCTION("""COMPUTED_VALUE""")," মেহেরপুর""")</f>
        <v> মেহেরপুর"</v>
      </c>
    </row>
    <row r="78" ht="15.75" customHeight="1">
      <c r="A78" s="8" t="s">
        <v>2279</v>
      </c>
      <c r="B78" s="4">
        <f>IFERROR(__xludf.DUMMYFUNCTION("SPLIT(A78,"","")"),80.0)</f>
        <v>80</v>
      </c>
      <c r="C78" s="4" t="str">
        <f>IFERROR(__xludf.DUMMYFUNCTION("""COMPUTED_VALUE"""),"মোছাঃ রুমা খাতুন")</f>
        <v>মোছাঃ রুমা খাতুন</v>
      </c>
      <c r="D78" s="4">
        <f>IFERROR(__xludf.DUMMYFUNCTION("""COMPUTED_VALUE"""),5.700543774135E12)</f>
        <v>5700543774135</v>
      </c>
      <c r="E78" s="4" t="str">
        <f>IFERROR(__xludf.DUMMYFUNCTION("""COMPUTED_VALUE"""),"মোঃ আছালদ্দীন")</f>
        <v>মোঃ আছালদ্দীন</v>
      </c>
      <c r="F78" s="4" t="str">
        <f>IFERROR(__xludf.DUMMYFUNCTION("""COMPUTED_VALUE"""),"মোছাঃ হালেছা খাতুন")</f>
        <v>মোছাঃ হালেছা খাতুন</v>
      </c>
      <c r="G78" s="4" t="str">
        <f>IFERROR(__xludf.DUMMYFUNCTION("""COMPUTED_VALUE"""),"১৫/০৫/১৯৮১")</f>
        <v>১৫/০৫/১৯৮১</v>
      </c>
      <c r="H78" s="4" t="str">
        <f>IFERROR(__xludf.DUMMYFUNCTION("""COMPUTED_VALUE"""),"গৃহিনী")</f>
        <v>গৃহিনী</v>
      </c>
      <c r="I78" s="4" t="str">
        <f>IFERROR(__xludf.DUMMYFUNCTION("""COMPUTED_VALUE"""),"""মহিষাখোলা")</f>
        <v>"মহিষাখোলা</v>
      </c>
      <c r="J78" s="4" t="str">
        <f>IFERROR(__xludf.DUMMYFUNCTION("""COMPUTED_VALUE""")," গাংনী")</f>
        <v> গাংনী</v>
      </c>
      <c r="K78" s="4" t="str">
        <f>IFERROR(__xludf.DUMMYFUNCTION("""COMPUTED_VALUE""")," মেহেরপুর""")</f>
        <v> মেহেরপুর"</v>
      </c>
    </row>
    <row r="79" ht="15.75" customHeight="1">
      <c r="A79" s="8" t="s">
        <v>2280</v>
      </c>
      <c r="B79" s="4">
        <f>IFERROR(__xludf.DUMMYFUNCTION("SPLIT(A79,"","")"),81.0)</f>
        <v>81</v>
      </c>
      <c r="C79" s="4" t="str">
        <f>IFERROR(__xludf.DUMMYFUNCTION("""COMPUTED_VALUE"""),"মোছাঃ জগোতারা খাতুন")</f>
        <v>মোছাঃ জগোতারা খাতুন</v>
      </c>
      <c r="D79" s="4">
        <f>IFERROR(__xludf.DUMMYFUNCTION("""COMPUTED_VALUE"""),5.700543774137E12)</f>
        <v>5700543774137</v>
      </c>
      <c r="E79" s="4" t="str">
        <f>IFERROR(__xludf.DUMMYFUNCTION("""COMPUTED_VALUE"""),"রহিম বকস")</f>
        <v>রহিম বকস</v>
      </c>
      <c r="F79" s="4" t="str">
        <f>IFERROR(__xludf.DUMMYFUNCTION("""COMPUTED_VALUE"""),"মোছাঃ জায়েদা খাতুন")</f>
        <v>মোছাঃ জায়েদা খাতুন</v>
      </c>
      <c r="G79" s="4" t="str">
        <f>IFERROR(__xludf.DUMMYFUNCTION("""COMPUTED_VALUE"""),"১৫/০৫/১৯৭৫")</f>
        <v>১৫/০৫/১৯৭৫</v>
      </c>
      <c r="H79" s="4" t="str">
        <f>IFERROR(__xludf.DUMMYFUNCTION("""COMPUTED_VALUE"""),"গৃহিনী")</f>
        <v>গৃহিনী</v>
      </c>
      <c r="I79" s="4" t="str">
        <f>IFERROR(__xludf.DUMMYFUNCTION("""COMPUTED_VALUE"""),"""মহিষাখোলা")</f>
        <v>"মহিষাখোলা</v>
      </c>
      <c r="J79" s="4" t="str">
        <f>IFERROR(__xludf.DUMMYFUNCTION("""COMPUTED_VALUE""")," গাংনী")</f>
        <v> গাংনী</v>
      </c>
      <c r="K79" s="4" t="str">
        <f>IFERROR(__xludf.DUMMYFUNCTION("""COMPUTED_VALUE""")," মেহেরপুর""")</f>
        <v> মেহেরপুর"</v>
      </c>
    </row>
    <row r="80" ht="15.75" customHeight="1">
      <c r="A80" s="8" t="s">
        <v>2281</v>
      </c>
      <c r="B80" s="4">
        <f>IFERROR(__xludf.DUMMYFUNCTION("SPLIT(A80,"","")"),82.0)</f>
        <v>82</v>
      </c>
      <c r="C80" s="4" t="str">
        <f>IFERROR(__xludf.DUMMYFUNCTION("""COMPUTED_VALUE"""),"মোছাঃ জোসনা খাতুন")</f>
        <v>মোছাঃ জোসনা খাতুন</v>
      </c>
      <c r="D80" s="4">
        <f>IFERROR(__xludf.DUMMYFUNCTION("""COMPUTED_VALUE"""),5.700543774138E12)</f>
        <v>5700543774138</v>
      </c>
      <c r="E80" s="4" t="str">
        <f>IFERROR(__xludf.DUMMYFUNCTION("""COMPUTED_VALUE"""),"মোঃ ওহাব আলী")</f>
        <v>মোঃ ওহাব আলী</v>
      </c>
      <c r="F80" s="4" t="str">
        <f>IFERROR(__xludf.DUMMYFUNCTION("""COMPUTED_VALUE"""),"মোছাঃ মনোয়ারা বেগম")</f>
        <v>মোছাঃ মনোয়ারা বেগম</v>
      </c>
      <c r="G80" s="4" t="str">
        <f>IFERROR(__xludf.DUMMYFUNCTION("""COMPUTED_VALUE"""),"০৪/১০/১৯৮৯")</f>
        <v>০৪/১০/১৯৮৯</v>
      </c>
      <c r="H80" s="4" t="str">
        <f>IFERROR(__xludf.DUMMYFUNCTION("""COMPUTED_VALUE"""),"গৃহিনী")</f>
        <v>গৃহিনী</v>
      </c>
      <c r="I80" s="4" t="str">
        <f>IFERROR(__xludf.DUMMYFUNCTION("""COMPUTED_VALUE"""),"""মহিষাখোলা")</f>
        <v>"মহিষাখোলা</v>
      </c>
      <c r="J80" s="4" t="str">
        <f>IFERROR(__xludf.DUMMYFUNCTION("""COMPUTED_VALUE""")," গাংনী")</f>
        <v> গাংনী</v>
      </c>
      <c r="K80" s="4" t="str">
        <f>IFERROR(__xludf.DUMMYFUNCTION("""COMPUTED_VALUE""")," মেহেরপুর""")</f>
        <v> মেহেরপুর"</v>
      </c>
    </row>
    <row r="81" ht="15.75" customHeight="1">
      <c r="A81" s="8" t="s">
        <v>2282</v>
      </c>
      <c r="B81" s="4">
        <f>IFERROR(__xludf.DUMMYFUNCTION("SPLIT(A81,"","")"),83.0)</f>
        <v>83</v>
      </c>
      <c r="C81" s="4" t="str">
        <f>IFERROR(__xludf.DUMMYFUNCTION("""COMPUTED_VALUE"""),"মোছাঃ রূপালী খাতুন")</f>
        <v>মোছাঃ রূপালী খাতুন</v>
      </c>
      <c r="D81" s="4">
        <f>IFERROR(__xludf.DUMMYFUNCTION("""COMPUTED_VALUE"""),5.700543774139E12)</f>
        <v>5700543774139</v>
      </c>
      <c r="E81" s="4" t="str">
        <f>IFERROR(__xludf.DUMMYFUNCTION("""COMPUTED_VALUE"""),"মোঃ ছাদের আলী")</f>
        <v>মোঃ ছাদের আলী</v>
      </c>
      <c r="F81" s="4" t="str">
        <f>IFERROR(__xludf.DUMMYFUNCTION("""COMPUTED_VALUE"""),"মোছাঃ তবিরন নেছা")</f>
        <v>মোছাঃ তবিরন নেছা</v>
      </c>
      <c r="G81" s="4" t="str">
        <f>IFERROR(__xludf.DUMMYFUNCTION("""COMPUTED_VALUE"""),"১৫/০৭/১৯৮৩")</f>
        <v>১৫/০৭/১৯৮৩</v>
      </c>
      <c r="H81" s="4" t="str">
        <f>IFERROR(__xludf.DUMMYFUNCTION("""COMPUTED_VALUE"""),"গৃহিনী")</f>
        <v>গৃহিনী</v>
      </c>
      <c r="I81" s="4" t="str">
        <f>IFERROR(__xludf.DUMMYFUNCTION("""COMPUTED_VALUE"""),"""মহিষাখোলা")</f>
        <v>"মহিষাখোলা</v>
      </c>
      <c r="J81" s="4" t="str">
        <f>IFERROR(__xludf.DUMMYFUNCTION("""COMPUTED_VALUE""")," গাংনী")</f>
        <v> গাংনী</v>
      </c>
      <c r="K81" s="4" t="str">
        <f>IFERROR(__xludf.DUMMYFUNCTION("""COMPUTED_VALUE""")," মেহেরপুর""")</f>
        <v> মেহেরপুর"</v>
      </c>
    </row>
    <row r="82" ht="15.75" customHeight="1">
      <c r="A82" s="8" t="s">
        <v>2283</v>
      </c>
      <c r="B82" s="4">
        <f>IFERROR(__xludf.DUMMYFUNCTION("SPLIT(A82,"","")"),84.0)</f>
        <v>84</v>
      </c>
      <c r="C82" s="4" t="str">
        <f>IFERROR(__xludf.DUMMYFUNCTION("""COMPUTED_VALUE"""),"মোছাঃ হাওয়া খাতুন")</f>
        <v>মোছাঃ হাওয়া খাতুন</v>
      </c>
      <c r="D82" s="4">
        <f>IFERROR(__xludf.DUMMYFUNCTION("""COMPUTED_VALUE"""),5.70054377414E12)</f>
        <v>5700543774140</v>
      </c>
      <c r="E82" s="4" t="str">
        <f>IFERROR(__xludf.DUMMYFUNCTION("""COMPUTED_VALUE"""),"ফজের আলী")</f>
        <v>ফজের আলী</v>
      </c>
      <c r="F82" s="4" t="str">
        <f>IFERROR(__xludf.DUMMYFUNCTION("""COMPUTED_VALUE"""),"রাহাতন বেগম")</f>
        <v>রাহাতন বেগম</v>
      </c>
      <c r="G82" s="4" t="str">
        <f>IFERROR(__xludf.DUMMYFUNCTION("""COMPUTED_VALUE"""),"১৫/০৮/১৯৪৭")</f>
        <v>১৫/০৮/১৯৪৭</v>
      </c>
      <c r="H82" s="4" t="str">
        <f>IFERROR(__xludf.DUMMYFUNCTION("""COMPUTED_VALUE"""),"গৃহিনী")</f>
        <v>গৃহিনী</v>
      </c>
      <c r="I82" s="4" t="str">
        <f>IFERROR(__xludf.DUMMYFUNCTION("""COMPUTED_VALUE"""),"""মহিষাখোলা")</f>
        <v>"মহিষাখোলা</v>
      </c>
      <c r="J82" s="4" t="str">
        <f>IFERROR(__xludf.DUMMYFUNCTION("""COMPUTED_VALUE""")," গাংনী")</f>
        <v> গাংনী</v>
      </c>
      <c r="K82" s="4" t="str">
        <f>IFERROR(__xludf.DUMMYFUNCTION("""COMPUTED_VALUE""")," মেহেরপুর""")</f>
        <v> মেহেরপুর"</v>
      </c>
    </row>
    <row r="83" ht="15.75" customHeight="1">
      <c r="A83" s="8" t="s">
        <v>2284</v>
      </c>
      <c r="B83" s="4">
        <f>IFERROR(__xludf.DUMMYFUNCTION("SPLIT(A83,"","")"),85.0)</f>
        <v>85</v>
      </c>
      <c r="C83" s="4" t="str">
        <f>IFERROR(__xludf.DUMMYFUNCTION("""COMPUTED_VALUE"""),"মোছাঃ নিহারন খাতুন")</f>
        <v>মোছাঃ নিহারন খাতুন</v>
      </c>
      <c r="D83" s="4">
        <f>IFERROR(__xludf.DUMMYFUNCTION("""COMPUTED_VALUE"""),5.700543774141E12)</f>
        <v>5700543774141</v>
      </c>
      <c r="E83" s="4" t="str">
        <f>IFERROR(__xludf.DUMMYFUNCTION("""COMPUTED_VALUE"""),"মোঃ আবু বকর মন্ডল")</f>
        <v>মোঃ আবু বকর মন্ডল</v>
      </c>
      <c r="F83" s="4" t="str">
        <f>IFERROR(__xludf.DUMMYFUNCTION("""COMPUTED_VALUE"""),"মোছাঃ ওজুরা খাতুন")</f>
        <v>মোছাঃ ওজুরা খাতুন</v>
      </c>
      <c r="G83" s="4" t="str">
        <f>IFERROR(__xludf.DUMMYFUNCTION("""COMPUTED_VALUE"""),"১২/০৩/১৯৬৭")</f>
        <v>১২/০৩/১৯৬৭</v>
      </c>
      <c r="H83" s="4" t="str">
        <f>IFERROR(__xludf.DUMMYFUNCTION("""COMPUTED_VALUE"""),"গৃহিনী")</f>
        <v>গৃহিনী</v>
      </c>
      <c r="I83" s="4" t="str">
        <f>IFERROR(__xludf.DUMMYFUNCTION("""COMPUTED_VALUE"""),"""মহিষাখোলা")</f>
        <v>"মহিষাখোলা</v>
      </c>
      <c r="J83" s="4" t="str">
        <f>IFERROR(__xludf.DUMMYFUNCTION("""COMPUTED_VALUE""")," গাংনী")</f>
        <v> গাংনী</v>
      </c>
      <c r="K83" s="4" t="str">
        <f>IFERROR(__xludf.DUMMYFUNCTION("""COMPUTED_VALUE""")," মেহেরপুর""")</f>
        <v> মেহেরপুর"</v>
      </c>
    </row>
    <row r="84" ht="15.75" customHeight="1">
      <c r="A84" s="8" t="s">
        <v>2285</v>
      </c>
      <c r="B84" s="4">
        <f>IFERROR(__xludf.DUMMYFUNCTION("SPLIT(A84,"","")"),87.0)</f>
        <v>87</v>
      </c>
      <c r="C84" s="4" t="str">
        <f>IFERROR(__xludf.DUMMYFUNCTION("""COMPUTED_VALUE"""),"মোছাঃ ফাহিমা খাতুন")</f>
        <v>মোছাঃ ফাহিমা খাতুন</v>
      </c>
      <c r="D84" s="4">
        <f>IFERROR(__xludf.DUMMYFUNCTION("""COMPUTED_VALUE"""),5.700543774146E12)</f>
        <v>5700543774146</v>
      </c>
      <c r="E84" s="4" t="str">
        <f>IFERROR(__xludf.DUMMYFUNCTION("""COMPUTED_VALUE"""),"মোঃ আঃ অলেপ")</f>
        <v>মোঃ আঃ অলেপ</v>
      </c>
      <c r="F84" s="4" t="str">
        <f>IFERROR(__xludf.DUMMYFUNCTION("""COMPUTED_VALUE"""),"মোছাঃ আংগুরা বেগম")</f>
        <v>মোছাঃ আংগুরা বেগম</v>
      </c>
      <c r="G84" s="4" t="str">
        <f>IFERROR(__xludf.DUMMYFUNCTION("""COMPUTED_VALUE"""),"১৫/০৪/১৯৮৮")</f>
        <v>১৫/০৪/১৯৮৮</v>
      </c>
      <c r="H84" s="4" t="str">
        <f>IFERROR(__xludf.DUMMYFUNCTION("""COMPUTED_VALUE"""),"গৃহিনী")</f>
        <v>গৃহিনী</v>
      </c>
      <c r="I84" s="4" t="str">
        <f>IFERROR(__xludf.DUMMYFUNCTION("""COMPUTED_VALUE"""),"""মহিষাখোলা")</f>
        <v>"মহিষাখোলা</v>
      </c>
      <c r="J84" s="4" t="str">
        <f>IFERROR(__xludf.DUMMYFUNCTION("""COMPUTED_VALUE""")," গাংনী")</f>
        <v> গাংনী</v>
      </c>
      <c r="K84" s="4" t="str">
        <f>IFERROR(__xludf.DUMMYFUNCTION("""COMPUTED_VALUE""")," মেহেরপুর""")</f>
        <v> মেহেরপুর"</v>
      </c>
    </row>
    <row r="85" ht="15.75" customHeight="1">
      <c r="A85" s="8" t="s">
        <v>2286</v>
      </c>
      <c r="B85" s="4">
        <f>IFERROR(__xludf.DUMMYFUNCTION("SPLIT(A85,"","")"),88.0)</f>
        <v>88</v>
      </c>
      <c r="C85" s="4" t="str">
        <f>IFERROR(__xludf.DUMMYFUNCTION("""COMPUTED_VALUE"""),"মোছাঃ রেকছোনা খাতুন")</f>
        <v>মোছাঃ রেকছোনা খাতুন</v>
      </c>
      <c r="D85" s="4">
        <f>IFERROR(__xludf.DUMMYFUNCTION("""COMPUTED_VALUE"""),5.700543774148E12)</f>
        <v>5700543774148</v>
      </c>
      <c r="E85" s="4" t="str">
        <f>IFERROR(__xludf.DUMMYFUNCTION("""COMPUTED_VALUE"""),"শরিয়ত আলী")</f>
        <v>শরিয়ত আলী</v>
      </c>
      <c r="F85" s="4" t="str">
        <f>IFERROR(__xludf.DUMMYFUNCTION("""COMPUTED_VALUE"""),"মোছাঃ মনোয়ারা খাতুন")</f>
        <v>মোছাঃ মনোয়ারা খাতুন</v>
      </c>
      <c r="G85" s="4" t="str">
        <f>IFERROR(__xludf.DUMMYFUNCTION("""COMPUTED_VALUE"""),"০৫/০৩/১৯৮৮")</f>
        <v>০৫/০৩/১৯৮৮</v>
      </c>
      <c r="H85" s="4" t="str">
        <f>IFERROR(__xludf.DUMMYFUNCTION("""COMPUTED_VALUE"""),"গৃহিনী")</f>
        <v>গৃহিনী</v>
      </c>
      <c r="I85" s="4" t="str">
        <f>IFERROR(__xludf.DUMMYFUNCTION("""COMPUTED_VALUE"""),"""মহিষাখোলা")</f>
        <v>"মহিষাখোলা</v>
      </c>
      <c r="J85" s="4" t="str">
        <f>IFERROR(__xludf.DUMMYFUNCTION("""COMPUTED_VALUE""")," গাংনী")</f>
        <v> গাংনী</v>
      </c>
      <c r="K85" s="4" t="str">
        <f>IFERROR(__xludf.DUMMYFUNCTION("""COMPUTED_VALUE""")," মেহেরপুর""")</f>
        <v> মেহেরপুর"</v>
      </c>
    </row>
    <row r="86" ht="15.75" customHeight="1">
      <c r="A86" s="8" t="s">
        <v>2287</v>
      </c>
      <c r="B86" s="4">
        <f>IFERROR(__xludf.DUMMYFUNCTION("SPLIT(A86,"","")"),89.0)</f>
        <v>89</v>
      </c>
      <c r="C86" s="4" t="str">
        <f>IFERROR(__xludf.DUMMYFUNCTION("""COMPUTED_VALUE"""),"মোছাঃ আক্তারুন নাহার")</f>
        <v>মোছাঃ আক্তারুন নাহার</v>
      </c>
      <c r="D86" s="4">
        <f>IFERROR(__xludf.DUMMYFUNCTION("""COMPUTED_VALUE"""),5.70054377415E12)</f>
        <v>5700543774150</v>
      </c>
      <c r="E86" s="4" t="str">
        <f>IFERROR(__xludf.DUMMYFUNCTION("""COMPUTED_VALUE"""),"চাঁদ মন্ডল")</f>
        <v>চাঁদ মন্ডল</v>
      </c>
      <c r="F86" s="4" t="str">
        <f>IFERROR(__xludf.DUMMYFUNCTION("""COMPUTED_VALUE"""),"মোছাঃ ছানোয়ারা")</f>
        <v>মোছাঃ ছানোয়ারা</v>
      </c>
      <c r="G86" s="4" t="str">
        <f>IFERROR(__xludf.DUMMYFUNCTION("""COMPUTED_VALUE"""),"১৫/১০/১৯৭৭")</f>
        <v>১৫/১০/১৯৭৭</v>
      </c>
      <c r="H86" s="4" t="str">
        <f>IFERROR(__xludf.DUMMYFUNCTION("""COMPUTED_VALUE"""),"গৃহিনী")</f>
        <v>গৃহিনী</v>
      </c>
      <c r="I86" s="4" t="str">
        <f>IFERROR(__xludf.DUMMYFUNCTION("""COMPUTED_VALUE"""),"""মহিষাখোলা")</f>
        <v>"মহিষাখোলা</v>
      </c>
      <c r="J86" s="4" t="str">
        <f>IFERROR(__xludf.DUMMYFUNCTION("""COMPUTED_VALUE""")," গাংনী")</f>
        <v> গাংনী</v>
      </c>
      <c r="K86" s="4" t="str">
        <f>IFERROR(__xludf.DUMMYFUNCTION("""COMPUTED_VALUE""")," মেহেরপুর""")</f>
        <v> মেহেরপুর"</v>
      </c>
    </row>
    <row r="87" ht="15.75" customHeight="1">
      <c r="A87" s="8" t="s">
        <v>2288</v>
      </c>
      <c r="B87" s="4">
        <f>IFERROR(__xludf.DUMMYFUNCTION("SPLIT(A87,"","")"),90.0)</f>
        <v>90</v>
      </c>
      <c r="C87" s="4" t="str">
        <f>IFERROR(__xludf.DUMMYFUNCTION("""COMPUTED_VALUE"""),"মোছাঃ ফিরোজা খাতুন")</f>
        <v>মোছাঃ ফিরোজা খাতুন</v>
      </c>
      <c r="D87" s="4">
        <f>IFERROR(__xludf.DUMMYFUNCTION("""COMPUTED_VALUE"""),5.700543774151E12)</f>
        <v>5700543774151</v>
      </c>
      <c r="E87" s="4" t="str">
        <f>IFERROR(__xludf.DUMMYFUNCTION("""COMPUTED_VALUE"""),"মোঃ আঃ খালেক")</f>
        <v>মোঃ আঃ খালেক</v>
      </c>
      <c r="F87" s="4" t="str">
        <f>IFERROR(__xludf.DUMMYFUNCTION("""COMPUTED_VALUE"""),"মোছাঃ সাহেদা বেগম")</f>
        <v>মোছাঃ সাহেদা বেগম</v>
      </c>
      <c r="G87" s="4" t="str">
        <f>IFERROR(__xludf.DUMMYFUNCTION("""COMPUTED_VALUE"""),"১৫/০৫/১৯৮০")</f>
        <v>১৫/০৫/১৯৮০</v>
      </c>
      <c r="H87" s="4" t="str">
        <f>IFERROR(__xludf.DUMMYFUNCTION("""COMPUTED_VALUE"""),"গৃহিনী")</f>
        <v>গৃহিনী</v>
      </c>
      <c r="I87" s="4" t="str">
        <f>IFERROR(__xludf.DUMMYFUNCTION("""COMPUTED_VALUE"""),"""মহিষাখোলা")</f>
        <v>"মহিষাখোলা</v>
      </c>
      <c r="J87" s="4" t="str">
        <f>IFERROR(__xludf.DUMMYFUNCTION("""COMPUTED_VALUE""")," গাংনী")</f>
        <v> গাংনী</v>
      </c>
      <c r="K87" s="4" t="str">
        <f>IFERROR(__xludf.DUMMYFUNCTION("""COMPUTED_VALUE""")," মেহেরপুর""")</f>
        <v> মেহেরপুর"</v>
      </c>
    </row>
    <row r="88" ht="15.75" customHeight="1">
      <c r="A88" s="8" t="s">
        <v>2289</v>
      </c>
      <c r="B88" s="4">
        <f>IFERROR(__xludf.DUMMYFUNCTION("SPLIT(A88,"","")"),91.0)</f>
        <v>91</v>
      </c>
      <c r="C88" s="4" t="str">
        <f>IFERROR(__xludf.DUMMYFUNCTION("""COMPUTED_VALUE"""),"মোছাঃ মাকছুরা খাতুন")</f>
        <v>মোছাঃ মাকছুরা খাতুন</v>
      </c>
      <c r="D88" s="4">
        <f>IFERROR(__xludf.DUMMYFUNCTION("""COMPUTED_VALUE"""),5.700543774153E12)</f>
        <v>5700543774153</v>
      </c>
      <c r="E88" s="4" t="str">
        <f>IFERROR(__xludf.DUMMYFUNCTION("""COMPUTED_VALUE"""),"মোঃ আইনাল মালিথা")</f>
        <v>মোঃ আইনাল মালিথা</v>
      </c>
      <c r="F88" s="4" t="str">
        <f>IFERROR(__xludf.DUMMYFUNCTION("""COMPUTED_VALUE"""),"মোছাঃ ছালেহার খাতুন")</f>
        <v>মোছাঃ ছালেহার খাতুন</v>
      </c>
      <c r="G88" s="4" t="str">
        <f>IFERROR(__xludf.DUMMYFUNCTION("""COMPUTED_VALUE"""),"০৭/০২/১৯৭৯")</f>
        <v>০৭/০২/১৯৭৯</v>
      </c>
      <c r="H88" s="4" t="str">
        <f>IFERROR(__xludf.DUMMYFUNCTION("""COMPUTED_VALUE"""),"গৃহিনী")</f>
        <v>গৃহিনী</v>
      </c>
      <c r="I88" s="4" t="str">
        <f>IFERROR(__xludf.DUMMYFUNCTION("""COMPUTED_VALUE"""),"""মহিষাখোলা")</f>
        <v>"মহিষাখোলা</v>
      </c>
      <c r="J88" s="4" t="str">
        <f>IFERROR(__xludf.DUMMYFUNCTION("""COMPUTED_VALUE""")," গাংনী")</f>
        <v> গাংনী</v>
      </c>
      <c r="K88" s="4" t="str">
        <f>IFERROR(__xludf.DUMMYFUNCTION("""COMPUTED_VALUE""")," মেহেরপুর""")</f>
        <v> মেহেরপুর"</v>
      </c>
    </row>
    <row r="89" ht="15.75" customHeight="1">
      <c r="A89" s="8" t="s">
        <v>2290</v>
      </c>
      <c r="B89" s="4">
        <f>IFERROR(__xludf.DUMMYFUNCTION("SPLIT(A89,"","")"),92.0)</f>
        <v>92</v>
      </c>
      <c r="C89" s="4" t="str">
        <f>IFERROR(__xludf.DUMMYFUNCTION("""COMPUTED_VALUE"""),"মোছাঃ নিছারন খাতুন")</f>
        <v>মোছাঃ নিছারন খাতুন</v>
      </c>
      <c r="D89" s="4">
        <f>IFERROR(__xludf.DUMMYFUNCTION("""COMPUTED_VALUE"""),5.700543774155E12)</f>
        <v>5700543774155</v>
      </c>
      <c r="E89" s="4" t="str">
        <f>IFERROR(__xludf.DUMMYFUNCTION("""COMPUTED_VALUE"""),"রওশন আলী")</f>
        <v>রওশন আলী</v>
      </c>
      <c r="F89" s="4" t="str">
        <f>IFERROR(__xludf.DUMMYFUNCTION("""COMPUTED_VALUE"""),"আলতা মনি")</f>
        <v>আলতা মনি</v>
      </c>
      <c r="G89" s="4" t="str">
        <f>IFERROR(__xludf.DUMMYFUNCTION("""COMPUTED_VALUE"""),"০৩/১০/১৯৩৭")</f>
        <v>০৩/১০/১৯৩৭</v>
      </c>
      <c r="H89" s="4" t="str">
        <f>IFERROR(__xludf.DUMMYFUNCTION("""COMPUTED_VALUE"""),"গৃহিনী")</f>
        <v>গৃহিনী</v>
      </c>
      <c r="I89" s="4" t="str">
        <f>IFERROR(__xludf.DUMMYFUNCTION("""COMPUTED_VALUE"""),"""মহিষাখোলা")</f>
        <v>"মহিষাখোলা</v>
      </c>
      <c r="J89" s="4" t="str">
        <f>IFERROR(__xludf.DUMMYFUNCTION("""COMPUTED_VALUE""")," গাংনী")</f>
        <v> গাংনী</v>
      </c>
      <c r="K89" s="4" t="str">
        <f>IFERROR(__xludf.DUMMYFUNCTION("""COMPUTED_VALUE""")," মেহেরপুর""")</f>
        <v> মেহেরপুর"</v>
      </c>
    </row>
    <row r="90" ht="15.75" customHeight="1">
      <c r="A90" s="8" t="s">
        <v>2291</v>
      </c>
      <c r="B90" s="4">
        <f>IFERROR(__xludf.DUMMYFUNCTION("SPLIT(A90,"","")"),93.0)</f>
        <v>93</v>
      </c>
      <c r="C90" s="4" t="str">
        <f>IFERROR(__xludf.DUMMYFUNCTION("""COMPUTED_VALUE"""),"মোছাঃ রমেলা খাতুন")</f>
        <v>মোছাঃ রমেলা খাতুন</v>
      </c>
      <c r="D90" s="4">
        <f>IFERROR(__xludf.DUMMYFUNCTION("""COMPUTED_VALUE"""),5.700543774158E12)</f>
        <v>5700543774158</v>
      </c>
      <c r="E90" s="4" t="str">
        <f>IFERROR(__xludf.DUMMYFUNCTION("""COMPUTED_VALUE"""),"খাতের মন্ডল")</f>
        <v>খাতের মন্ডল</v>
      </c>
      <c r="F90" s="4" t="str">
        <f>IFERROR(__xludf.DUMMYFUNCTION("""COMPUTED_VALUE"""),"রমেছা খাতুন")</f>
        <v>রমেছা খাতুন</v>
      </c>
      <c r="G90" s="4" t="str">
        <f>IFERROR(__xludf.DUMMYFUNCTION("""COMPUTED_VALUE"""),"০৫/১০/১৯৪১")</f>
        <v>০৫/১০/১৯৪১</v>
      </c>
      <c r="H90" s="4" t="str">
        <f>IFERROR(__xludf.DUMMYFUNCTION("""COMPUTED_VALUE"""),"গৃহিনী")</f>
        <v>গৃহিনী</v>
      </c>
      <c r="I90" s="4" t="str">
        <f>IFERROR(__xludf.DUMMYFUNCTION("""COMPUTED_VALUE"""),"""মহিষাখোলা")</f>
        <v>"মহিষাখোলা</v>
      </c>
      <c r="J90" s="4" t="str">
        <f>IFERROR(__xludf.DUMMYFUNCTION("""COMPUTED_VALUE""")," গাংনী")</f>
        <v> গাংনী</v>
      </c>
      <c r="K90" s="4" t="str">
        <f>IFERROR(__xludf.DUMMYFUNCTION("""COMPUTED_VALUE""")," মেহেরপুর""")</f>
        <v> মেহেরপুর"</v>
      </c>
    </row>
    <row r="91" ht="15.75" customHeight="1">
      <c r="A91" s="8" t="s">
        <v>2292</v>
      </c>
      <c r="B91" s="4">
        <f>IFERROR(__xludf.DUMMYFUNCTION("SPLIT(A91,"","")"),94.0)</f>
        <v>94</v>
      </c>
      <c r="C91" s="4" t="str">
        <f>IFERROR(__xludf.DUMMYFUNCTION("""COMPUTED_VALUE"""),"মোছাঃ স্বপ্না আক্তার")</f>
        <v>মোছাঃ স্বপ্না আক্তার</v>
      </c>
      <c r="D91" s="4">
        <f>IFERROR(__xludf.DUMMYFUNCTION("""COMPUTED_VALUE"""),5.700543774159E12)</f>
        <v>5700543774159</v>
      </c>
      <c r="E91" s="4" t="str">
        <f>IFERROR(__xludf.DUMMYFUNCTION("""COMPUTED_VALUE"""),"মোঃ কলিমুদ্দীন মন্ডল")</f>
        <v>মোঃ কলিমুদ্দীন মন্ডল</v>
      </c>
      <c r="F91" s="4" t="str">
        <f>IFERROR(__xludf.DUMMYFUNCTION("""COMPUTED_VALUE"""),"মোছাঃ শরিফা বেগম")</f>
        <v>মোছাঃ শরিফা বেগম</v>
      </c>
      <c r="G91" s="4" t="str">
        <f>IFERROR(__xludf.DUMMYFUNCTION("""COMPUTED_VALUE"""),"০১/০১/১৯৮৪")</f>
        <v>০১/০১/১৯৮৪</v>
      </c>
      <c r="H91" s="4" t="str">
        <f>IFERROR(__xludf.DUMMYFUNCTION("""COMPUTED_VALUE"""),"গৃহিনী")</f>
        <v>গৃহিনী</v>
      </c>
      <c r="I91" s="4" t="str">
        <f>IFERROR(__xludf.DUMMYFUNCTION("""COMPUTED_VALUE"""),"""মহিষাখোলা")</f>
        <v>"মহিষাখোলা</v>
      </c>
      <c r="J91" s="4" t="str">
        <f>IFERROR(__xludf.DUMMYFUNCTION("""COMPUTED_VALUE""")," গাংনী")</f>
        <v> গাংনী</v>
      </c>
      <c r="K91" s="4" t="str">
        <f>IFERROR(__xludf.DUMMYFUNCTION("""COMPUTED_VALUE""")," মেহেরপুর""")</f>
        <v> মেহেরপুর"</v>
      </c>
    </row>
    <row r="92" ht="15.75" customHeight="1">
      <c r="A92" s="8" t="s">
        <v>2293</v>
      </c>
      <c r="B92" s="4">
        <f>IFERROR(__xludf.DUMMYFUNCTION("SPLIT(A92,"","")"),95.0)</f>
        <v>95</v>
      </c>
      <c r="C92" s="4" t="str">
        <f>IFERROR(__xludf.DUMMYFUNCTION("""COMPUTED_VALUE"""),"মোছাঃ মিনারা খাতুন")</f>
        <v>মোছাঃ মিনারা খাতুন</v>
      </c>
      <c r="D92" s="4">
        <f>IFERROR(__xludf.DUMMYFUNCTION("""COMPUTED_VALUE"""),5.700543774161E12)</f>
        <v>5700543774161</v>
      </c>
      <c r="E92" s="4" t="str">
        <f>IFERROR(__xludf.DUMMYFUNCTION("""COMPUTED_VALUE"""),"মোঃ তহেন আলী")</f>
        <v>মোঃ তহেন আলী</v>
      </c>
      <c r="F92" s="4" t="str">
        <f>IFERROR(__xludf.DUMMYFUNCTION("""COMPUTED_VALUE"""),"মোছাঃ জাহিরা খাতুন")</f>
        <v>মোছাঃ জাহিরা খাতুন</v>
      </c>
      <c r="G92" s="4" t="str">
        <f>IFERROR(__xludf.DUMMYFUNCTION("""COMPUTED_VALUE"""),"১৫/০৩/১৯৭২")</f>
        <v>১৫/০৩/১৯৭২</v>
      </c>
      <c r="H92" s="4" t="str">
        <f>IFERROR(__xludf.DUMMYFUNCTION("""COMPUTED_VALUE"""),"গৃহিনী")</f>
        <v>গৃহিনী</v>
      </c>
      <c r="I92" s="4" t="str">
        <f>IFERROR(__xludf.DUMMYFUNCTION("""COMPUTED_VALUE"""),"""মহিষাখোলা")</f>
        <v>"মহিষাখোলা</v>
      </c>
      <c r="J92" s="4" t="str">
        <f>IFERROR(__xludf.DUMMYFUNCTION("""COMPUTED_VALUE""")," গাংনী")</f>
        <v> গাংনী</v>
      </c>
      <c r="K92" s="4" t="str">
        <f>IFERROR(__xludf.DUMMYFUNCTION("""COMPUTED_VALUE""")," মেহেরপুর""")</f>
        <v> মেহেরপুর"</v>
      </c>
    </row>
    <row r="93" ht="15.75" customHeight="1">
      <c r="A93" s="8" t="s">
        <v>2294</v>
      </c>
      <c r="B93" s="4">
        <f>IFERROR(__xludf.DUMMYFUNCTION("SPLIT(A93,"","")"),96.0)</f>
        <v>96</v>
      </c>
      <c r="C93" s="4" t="str">
        <f>IFERROR(__xludf.DUMMYFUNCTION("""COMPUTED_VALUE"""),"মোছাঃ রওশনারা খাতুন")</f>
        <v>মোছাঃ রওশনারা খাতুন</v>
      </c>
      <c r="D93" s="4">
        <f>IFERROR(__xludf.DUMMYFUNCTION("""COMPUTED_VALUE"""),5.700543774162E12)</f>
        <v>5700543774162</v>
      </c>
      <c r="E93" s="4" t="str">
        <f>IFERROR(__xludf.DUMMYFUNCTION("""COMPUTED_VALUE"""),"হাসেম আলী")</f>
        <v>হাসেম আলী</v>
      </c>
      <c r="F93" s="4" t="str">
        <f>IFERROR(__xludf.DUMMYFUNCTION("""COMPUTED_VALUE"""),"লতিফন নেছা")</f>
        <v>লতিফন নেছা</v>
      </c>
      <c r="G93" s="4" t="str">
        <f>IFERROR(__xludf.DUMMYFUNCTION("""COMPUTED_VALUE"""),"১০/০৪/১৯৬৯")</f>
        <v>১০/০৪/১৯৬৯</v>
      </c>
      <c r="H93" s="4" t="str">
        <f>IFERROR(__xludf.DUMMYFUNCTION("""COMPUTED_VALUE"""),"গৃহিনী")</f>
        <v>গৃহিনী</v>
      </c>
      <c r="I93" s="4" t="str">
        <f>IFERROR(__xludf.DUMMYFUNCTION("""COMPUTED_VALUE"""),"""মহিষাখোলা")</f>
        <v>"মহিষাখোলা</v>
      </c>
      <c r="J93" s="4" t="str">
        <f>IFERROR(__xludf.DUMMYFUNCTION("""COMPUTED_VALUE""")," গাংনী")</f>
        <v> গাংনী</v>
      </c>
      <c r="K93" s="4" t="str">
        <f>IFERROR(__xludf.DUMMYFUNCTION("""COMPUTED_VALUE""")," মেহেরপুর""")</f>
        <v> মেহেরপুর"</v>
      </c>
    </row>
    <row r="94" ht="15.75" customHeight="1">
      <c r="A94" s="8" t="s">
        <v>2295</v>
      </c>
      <c r="B94" s="4">
        <f>IFERROR(__xludf.DUMMYFUNCTION("SPLIT(A94,"","")"),97.0)</f>
        <v>97</v>
      </c>
      <c r="C94" s="4" t="str">
        <f>IFERROR(__xludf.DUMMYFUNCTION("""COMPUTED_VALUE"""),"মোছাঃ নিছারন নেছা")</f>
        <v>মোছাঃ নিছারন নেছা</v>
      </c>
      <c r="D94" s="4">
        <f>IFERROR(__xludf.DUMMYFUNCTION("""COMPUTED_VALUE"""),5.700543774165E12)</f>
        <v>5700543774165</v>
      </c>
      <c r="E94" s="4" t="str">
        <f>IFERROR(__xludf.DUMMYFUNCTION("""COMPUTED_VALUE"""),"নস্কর মন্ডল")</f>
        <v>নস্কর মন্ডল</v>
      </c>
      <c r="F94" s="4" t="str">
        <f>IFERROR(__xludf.DUMMYFUNCTION("""COMPUTED_VALUE"""),"মিষ্ট খাতুন")</f>
        <v>মিষ্ট খাতুন</v>
      </c>
      <c r="G94" s="4" t="str">
        <f>IFERROR(__xludf.DUMMYFUNCTION("""COMPUTED_VALUE"""),"১৪/০৪/১৯৩৯")</f>
        <v>১৪/০৪/১৯৩৯</v>
      </c>
      <c r="H94" s="4" t="str">
        <f>IFERROR(__xludf.DUMMYFUNCTION("""COMPUTED_VALUE"""),"গৃহিনী")</f>
        <v>গৃহিনী</v>
      </c>
      <c r="I94" s="4" t="str">
        <f>IFERROR(__xludf.DUMMYFUNCTION("""COMPUTED_VALUE"""),"""মহিষাখোলা")</f>
        <v>"মহিষাখোলা</v>
      </c>
      <c r="J94" s="4" t="str">
        <f>IFERROR(__xludf.DUMMYFUNCTION("""COMPUTED_VALUE""")," গাংনী")</f>
        <v> গাংনী</v>
      </c>
      <c r="K94" s="4" t="str">
        <f>IFERROR(__xludf.DUMMYFUNCTION("""COMPUTED_VALUE""")," মেহেরপুর""")</f>
        <v> মেহেরপুর"</v>
      </c>
    </row>
    <row r="95" ht="15.75" customHeight="1">
      <c r="A95" s="8" t="s">
        <v>2296</v>
      </c>
      <c r="B95" s="4">
        <f>IFERROR(__xludf.DUMMYFUNCTION("SPLIT(A95,"","")"),98.0)</f>
        <v>98</v>
      </c>
      <c r="C95" s="4" t="str">
        <f>IFERROR(__xludf.DUMMYFUNCTION("""COMPUTED_VALUE"""),"মোছাঃ রহিমা খাতুন")</f>
        <v>মোছাঃ রহিমা খাতুন</v>
      </c>
      <c r="D95" s="4">
        <f>IFERROR(__xludf.DUMMYFUNCTION("""COMPUTED_VALUE"""),5.700543774167E12)</f>
        <v>5700543774167</v>
      </c>
      <c r="E95" s="4" t="str">
        <f>IFERROR(__xludf.DUMMYFUNCTION("""COMPUTED_VALUE"""),"মোঃ মোজাম্মেল হক")</f>
        <v>মোঃ মোজাম্মেল হক</v>
      </c>
      <c r="F95" s="4" t="str">
        <f>IFERROR(__xludf.DUMMYFUNCTION("""COMPUTED_VALUE"""),"মোছাঃ ফাতেমা খাতুন")</f>
        <v>মোছাঃ ফাতেমা খাতুন</v>
      </c>
      <c r="G95" s="4" t="str">
        <f>IFERROR(__xludf.DUMMYFUNCTION("""COMPUTED_VALUE"""),"২০/১২/১৯৬৭")</f>
        <v>২০/১২/১৯৬৭</v>
      </c>
      <c r="H95" s="4" t="str">
        <f>IFERROR(__xludf.DUMMYFUNCTION("""COMPUTED_VALUE"""),"গৃহিনী")</f>
        <v>গৃহিনী</v>
      </c>
      <c r="I95" s="4" t="str">
        <f>IFERROR(__xludf.DUMMYFUNCTION("""COMPUTED_VALUE"""),"""মহিষাখোলা")</f>
        <v>"মহিষাখোলা</v>
      </c>
      <c r="J95" s="4" t="str">
        <f>IFERROR(__xludf.DUMMYFUNCTION("""COMPUTED_VALUE""")," গাংনী")</f>
        <v> গাংনী</v>
      </c>
      <c r="K95" s="4" t="str">
        <f>IFERROR(__xludf.DUMMYFUNCTION("""COMPUTED_VALUE""")," মেহেরপুর""")</f>
        <v> মেহেরপুর"</v>
      </c>
    </row>
    <row r="96" ht="15.75" customHeight="1">
      <c r="A96" s="8" t="s">
        <v>2297</v>
      </c>
      <c r="B96" s="4">
        <f>IFERROR(__xludf.DUMMYFUNCTION("SPLIT(A96,"","")"),99.0)</f>
        <v>99</v>
      </c>
      <c r="C96" s="4" t="str">
        <f>IFERROR(__xludf.DUMMYFUNCTION("""COMPUTED_VALUE"""),"মোছাঃ রঞ্জিনা বেগম")</f>
        <v>মোছাঃ রঞ্জিনা বেগম</v>
      </c>
      <c r="D96" s="4">
        <f>IFERROR(__xludf.DUMMYFUNCTION("""COMPUTED_VALUE"""),5.700543774169E12)</f>
        <v>5700543774169</v>
      </c>
      <c r="E96" s="4" t="str">
        <f>IFERROR(__xludf.DUMMYFUNCTION("""COMPUTED_VALUE"""),"মোঃ মকবুল ইসলাম")</f>
        <v>মোঃ মকবুল ইসলাম</v>
      </c>
      <c r="F96" s="4" t="str">
        <f>IFERROR(__xludf.DUMMYFUNCTION("""COMPUTED_VALUE"""),"মোছাঃ আকলিমা বেগম")</f>
        <v>মোছাঃ আকলিমা বেগম</v>
      </c>
      <c r="G96" s="4" t="str">
        <f>IFERROR(__xludf.DUMMYFUNCTION("""COMPUTED_VALUE"""),"০৭/১০/১৯৮১")</f>
        <v>০৭/১০/১৯৮১</v>
      </c>
      <c r="H96" s="4" t="str">
        <f>IFERROR(__xludf.DUMMYFUNCTION("""COMPUTED_VALUE"""),"গৃহিনী")</f>
        <v>গৃহিনী</v>
      </c>
      <c r="I96" s="4" t="str">
        <f>IFERROR(__xludf.DUMMYFUNCTION("""COMPUTED_VALUE"""),"""মহিষাখোলা")</f>
        <v>"মহিষাখোলা</v>
      </c>
      <c r="J96" s="4" t="str">
        <f>IFERROR(__xludf.DUMMYFUNCTION("""COMPUTED_VALUE""")," গাংনী")</f>
        <v> গাংনী</v>
      </c>
      <c r="K96" s="4" t="str">
        <f>IFERROR(__xludf.DUMMYFUNCTION("""COMPUTED_VALUE""")," মেহেরপুর""")</f>
        <v> মেহেরপুর"</v>
      </c>
    </row>
    <row r="97" ht="15.75" customHeight="1">
      <c r="A97" s="8" t="s">
        <v>2298</v>
      </c>
      <c r="B97" s="4">
        <f>IFERROR(__xludf.DUMMYFUNCTION("SPLIT(A97,"","")"),100.0)</f>
        <v>100</v>
      </c>
      <c r="C97" s="4" t="str">
        <f>IFERROR(__xludf.DUMMYFUNCTION("""COMPUTED_VALUE"""),"মোছাঃ সাহেরা খাতুন")</f>
        <v>মোছাঃ সাহেরা খাতুন</v>
      </c>
      <c r="D97" s="4" t="str">
        <f>IFERROR(__xludf.DUMMYFUNCTION("""COMPUTED_VALUE"""),"৫৭০০৫৪৩৭৭৪ ১৭১")</f>
        <v>৫৭০০৫৪৩৭৭৪ ১৭১</v>
      </c>
      <c r="E97" s="4" t="str">
        <f>IFERROR(__xludf.DUMMYFUNCTION("""COMPUTED_VALUE"""),"মোঃ আমির উদ্দীন")</f>
        <v>মোঃ আমির উদ্দীন</v>
      </c>
      <c r="F97" s="4" t="str">
        <f>IFERROR(__xludf.DUMMYFUNCTION("""COMPUTED_VALUE"""),"মোছাঃ মহিরন নেছা")</f>
        <v>মোছাঃ মহিরন নেছা</v>
      </c>
      <c r="G97" s="4" t="str">
        <f>IFERROR(__xludf.DUMMYFUNCTION("""COMPUTED_VALUE"""),"১০/০৩/১৯৭৩")</f>
        <v>১০/০৩/১৯৭৩</v>
      </c>
      <c r="H97" s="4" t="str">
        <f>IFERROR(__xludf.DUMMYFUNCTION("""COMPUTED_VALUE"""),"গৃহিনী")</f>
        <v>গৃহিনী</v>
      </c>
      <c r="I97" s="4" t="str">
        <f>IFERROR(__xludf.DUMMYFUNCTION("""COMPUTED_VALUE"""),"""মহিষাখোলা")</f>
        <v>"মহিষাখোলা</v>
      </c>
      <c r="J97" s="4" t="str">
        <f>IFERROR(__xludf.DUMMYFUNCTION("""COMPUTED_VALUE""")," গাংনী")</f>
        <v> গাংনী</v>
      </c>
      <c r="K97" s="4" t="str">
        <f>IFERROR(__xludf.DUMMYFUNCTION("""COMPUTED_VALUE""")," মেহেরপুর""")</f>
        <v> মেহেরপুর"</v>
      </c>
    </row>
    <row r="98" ht="15.75" customHeight="1">
      <c r="A98" s="8" t="s">
        <v>2299</v>
      </c>
      <c r="B98" s="4">
        <f>IFERROR(__xludf.DUMMYFUNCTION("SPLIT(A98,"","")"),101.0)</f>
        <v>101</v>
      </c>
      <c r="C98" s="4" t="str">
        <f>IFERROR(__xludf.DUMMYFUNCTION("""COMPUTED_VALUE"""),"মোছাঃ শাহেদা খাতুন")</f>
        <v>মোছাঃ শাহেদা খাতুন</v>
      </c>
      <c r="D98" s="4">
        <f>IFERROR(__xludf.DUMMYFUNCTION("""COMPUTED_VALUE"""),5.700543774172E12)</f>
        <v>5700543774172</v>
      </c>
      <c r="E98" s="4" t="str">
        <f>IFERROR(__xludf.DUMMYFUNCTION("""COMPUTED_VALUE"""),"খলিল মন্ডল")</f>
        <v>খলিল মন্ডল</v>
      </c>
      <c r="F98" s="4" t="str">
        <f>IFERROR(__xludf.DUMMYFUNCTION("""COMPUTED_VALUE"""),"জপিরন খাতুন")</f>
        <v>জপিরন খাতুন</v>
      </c>
      <c r="G98" s="4" t="str">
        <f>IFERROR(__xludf.DUMMYFUNCTION("""COMPUTED_VALUE"""),"৩০/০৪/১৯৭০")</f>
        <v>৩০/০৪/১৯৭০</v>
      </c>
      <c r="H98" s="4" t="str">
        <f>IFERROR(__xludf.DUMMYFUNCTION("""COMPUTED_VALUE"""),"গৃহিনী")</f>
        <v>গৃহিনী</v>
      </c>
      <c r="I98" s="4" t="str">
        <f>IFERROR(__xludf.DUMMYFUNCTION("""COMPUTED_VALUE"""),"""মহিষাখোলা")</f>
        <v>"মহিষাখোলা</v>
      </c>
      <c r="J98" s="4" t="str">
        <f>IFERROR(__xludf.DUMMYFUNCTION("""COMPUTED_VALUE""")," গাংনী")</f>
        <v> গাংনী</v>
      </c>
      <c r="K98" s="4" t="str">
        <f>IFERROR(__xludf.DUMMYFUNCTION("""COMPUTED_VALUE""")," মেহেরপুর""")</f>
        <v> মেহেরপুর"</v>
      </c>
    </row>
    <row r="99" ht="15.75" customHeight="1">
      <c r="A99" s="8" t="s">
        <v>2300</v>
      </c>
      <c r="B99" s="4">
        <f>IFERROR(__xludf.DUMMYFUNCTION("SPLIT(A99,"","")"),102.0)</f>
        <v>102</v>
      </c>
      <c r="C99" s="4" t="str">
        <f>IFERROR(__xludf.DUMMYFUNCTION("""COMPUTED_VALUE"""),"মোছাঃ সাজেদা খাতুন")</f>
        <v>মোছাঃ সাজেদা খাতুন</v>
      </c>
      <c r="D99" s="4">
        <f>IFERROR(__xludf.DUMMYFUNCTION("""COMPUTED_VALUE"""),5.700543774173E12)</f>
        <v>5700543774173</v>
      </c>
      <c r="E99" s="4" t="str">
        <f>IFERROR(__xludf.DUMMYFUNCTION("""COMPUTED_VALUE"""),"মোঃ হাউচ আলী")</f>
        <v>মোঃ হাউচ আলী</v>
      </c>
      <c r="F99" s="4" t="str">
        <f>IFERROR(__xludf.DUMMYFUNCTION("""COMPUTED_VALUE"""),"মোছাঃ সাহেরা খাতুন")</f>
        <v>মোছাঃ সাহেরা খাতুন</v>
      </c>
      <c r="G99" s="4" t="str">
        <f>IFERROR(__xludf.DUMMYFUNCTION("""COMPUTED_VALUE"""),"১৫/০২/১৯৭১")</f>
        <v>১৫/০২/১৯৭১</v>
      </c>
      <c r="H99" s="4" t="str">
        <f>IFERROR(__xludf.DUMMYFUNCTION("""COMPUTED_VALUE"""),"গৃহিনী")</f>
        <v>গৃহিনী</v>
      </c>
      <c r="I99" s="4" t="str">
        <f>IFERROR(__xludf.DUMMYFUNCTION("""COMPUTED_VALUE"""),"""মহিষাখোলা")</f>
        <v>"মহিষাখোলা</v>
      </c>
      <c r="J99" s="4" t="str">
        <f>IFERROR(__xludf.DUMMYFUNCTION("""COMPUTED_VALUE""")," গাংনী")</f>
        <v> গাংনী</v>
      </c>
      <c r="K99" s="4" t="str">
        <f>IFERROR(__xludf.DUMMYFUNCTION("""COMPUTED_VALUE""")," মেহেরপুর""")</f>
        <v> মেহেরপুর"</v>
      </c>
    </row>
    <row r="100" ht="15.75" customHeight="1">
      <c r="A100" s="8" t="s">
        <v>2301</v>
      </c>
      <c r="B100" s="4">
        <f>IFERROR(__xludf.DUMMYFUNCTION("SPLIT(A100,"","")"),103.0)</f>
        <v>103</v>
      </c>
      <c r="C100" s="4" t="str">
        <f>IFERROR(__xludf.DUMMYFUNCTION("""COMPUTED_VALUE"""),"মোছাঃ সামছুন্নাহার খাতুন")</f>
        <v>মোছাঃ সামছুন্নাহার খাতুন</v>
      </c>
      <c r="D100" s="4">
        <f>IFERROR(__xludf.DUMMYFUNCTION("""COMPUTED_VALUE"""),5.700543774174E12)</f>
        <v>5700543774174</v>
      </c>
      <c r="E100" s="4" t="str">
        <f>IFERROR(__xludf.DUMMYFUNCTION("""COMPUTED_VALUE"""),"মোঃ ছারাক আলী")</f>
        <v>মোঃ ছারাক আলী</v>
      </c>
      <c r="F100" s="4" t="str">
        <f>IFERROR(__xludf.DUMMYFUNCTION("""COMPUTED_VALUE"""),"মোছাঃ রুপিয়া খাতুন")</f>
        <v>মোছাঃ রুপিয়া খাতুন</v>
      </c>
      <c r="G100" s="4" t="str">
        <f>IFERROR(__xludf.DUMMYFUNCTION("""COMPUTED_VALUE"""),"২১/১১/১৯৭৫")</f>
        <v>২১/১১/১৯৭৫</v>
      </c>
      <c r="H100" s="4" t="str">
        <f>IFERROR(__xludf.DUMMYFUNCTION("""COMPUTED_VALUE"""),"গৃহিনী")</f>
        <v>গৃহিনী</v>
      </c>
      <c r="I100" s="4" t="str">
        <f>IFERROR(__xludf.DUMMYFUNCTION("""COMPUTED_VALUE"""),"""মহিষাখোলা")</f>
        <v>"মহিষাখোলা</v>
      </c>
      <c r="J100" s="4" t="str">
        <f>IFERROR(__xludf.DUMMYFUNCTION("""COMPUTED_VALUE""")," গাংনী")</f>
        <v> গাংনী</v>
      </c>
      <c r="K100" s="4" t="str">
        <f>IFERROR(__xludf.DUMMYFUNCTION("""COMPUTED_VALUE""")," মেহেরপুর""")</f>
        <v> মেহেরপুর"</v>
      </c>
    </row>
    <row r="101" ht="15.75" customHeight="1">
      <c r="A101" s="8" t="s">
        <v>2302</v>
      </c>
      <c r="B101" s="4">
        <f>IFERROR(__xludf.DUMMYFUNCTION("SPLIT(A101,"","")"),104.0)</f>
        <v>104</v>
      </c>
      <c r="C101" s="4" t="str">
        <f>IFERROR(__xludf.DUMMYFUNCTION("""COMPUTED_VALUE"""),"মোছাঃ সেলিনা খাতুন")</f>
        <v>মোছাঃ সেলিনা খাতুন</v>
      </c>
      <c r="D101" s="4">
        <f>IFERROR(__xludf.DUMMYFUNCTION("""COMPUTED_VALUE"""),5.700543774177E12)</f>
        <v>5700543774177</v>
      </c>
      <c r="E101" s="4" t="str">
        <f>IFERROR(__xludf.DUMMYFUNCTION("""COMPUTED_VALUE"""),"মোঃ কাশেম সেখ")</f>
        <v>মোঃ কাশেম সেখ</v>
      </c>
      <c r="F101" s="4" t="str">
        <f>IFERROR(__xludf.DUMMYFUNCTION("""COMPUTED_VALUE"""),"জহিরন নেছা")</f>
        <v>জহিরন নেছা</v>
      </c>
      <c r="G101" s="4" t="str">
        <f>IFERROR(__xludf.DUMMYFUNCTION("""COMPUTED_VALUE"""),"০৫/০৩/১৯৮৩")</f>
        <v>০৫/০৩/১৯৮৩</v>
      </c>
      <c r="H101" s="4" t="str">
        <f>IFERROR(__xludf.DUMMYFUNCTION("""COMPUTED_VALUE"""),"গৃহিনী")</f>
        <v>গৃহিনী</v>
      </c>
      <c r="I101" s="4" t="str">
        <f>IFERROR(__xludf.DUMMYFUNCTION("""COMPUTED_VALUE"""),"""মহিষাখোলা")</f>
        <v>"মহিষাখোলা</v>
      </c>
      <c r="J101" s="4" t="str">
        <f>IFERROR(__xludf.DUMMYFUNCTION("""COMPUTED_VALUE""")," গাংনী")</f>
        <v> গাংনী</v>
      </c>
      <c r="K101" s="4" t="str">
        <f>IFERROR(__xludf.DUMMYFUNCTION("""COMPUTED_VALUE""")," মেহেরপুর""")</f>
        <v> মেহেরপুর"</v>
      </c>
    </row>
    <row r="102" ht="15.75" customHeight="1">
      <c r="A102" s="8" t="s">
        <v>2303</v>
      </c>
      <c r="B102" s="4">
        <f>IFERROR(__xludf.DUMMYFUNCTION("SPLIT(A102,"","")"),105.0)</f>
        <v>105</v>
      </c>
      <c r="C102" s="4" t="str">
        <f>IFERROR(__xludf.DUMMYFUNCTION("""COMPUTED_VALUE"""),"মোছাঃ হালিমা খাতুন")</f>
        <v>মোছাঃ হালিমা খাতুন</v>
      </c>
      <c r="D102" s="4">
        <f>IFERROR(__xludf.DUMMYFUNCTION("""COMPUTED_VALUE"""),5.700543774178E12)</f>
        <v>5700543774178</v>
      </c>
      <c r="E102" s="4" t="str">
        <f>IFERROR(__xludf.DUMMYFUNCTION("""COMPUTED_VALUE"""),"ইশারত জোয়ার্দ্দার")</f>
        <v>ইশারত জোয়ার্দ্দার</v>
      </c>
      <c r="F102" s="4" t="str">
        <f>IFERROR(__xludf.DUMMYFUNCTION("""COMPUTED_VALUE"""),"ইরফান নেছা")</f>
        <v>ইরফান নেছা</v>
      </c>
      <c r="G102" s="4" t="str">
        <f>IFERROR(__xludf.DUMMYFUNCTION("""COMPUTED_VALUE"""),"৩০/১১/১৯৪২")</f>
        <v>৩০/১১/১৯৪২</v>
      </c>
      <c r="H102" s="4" t="str">
        <f>IFERROR(__xludf.DUMMYFUNCTION("""COMPUTED_VALUE"""),"গৃহিনী")</f>
        <v>গৃহিনী</v>
      </c>
      <c r="I102" s="4" t="str">
        <f>IFERROR(__xludf.DUMMYFUNCTION("""COMPUTED_VALUE"""),"""মহিষাখোলা")</f>
        <v>"মহিষাখোলা</v>
      </c>
      <c r="J102" s="4" t="str">
        <f>IFERROR(__xludf.DUMMYFUNCTION("""COMPUTED_VALUE""")," গাংনী")</f>
        <v> গাংনী</v>
      </c>
      <c r="K102" s="4" t="str">
        <f>IFERROR(__xludf.DUMMYFUNCTION("""COMPUTED_VALUE""")," মেহেরপুর""")</f>
        <v> মেহেরপুর"</v>
      </c>
    </row>
    <row r="103" ht="15.75" customHeight="1">
      <c r="A103" s="8" t="s">
        <v>2304</v>
      </c>
      <c r="B103" s="4">
        <f>IFERROR(__xludf.DUMMYFUNCTION("SPLIT(A103,"","")"),106.0)</f>
        <v>106</v>
      </c>
      <c r="C103" s="4" t="str">
        <f>IFERROR(__xludf.DUMMYFUNCTION("""COMPUTED_VALUE"""),"মোছাঃ উমোরা খাতুন")</f>
        <v>মোছাঃ উমোরা খাতুন</v>
      </c>
      <c r="D103" s="4">
        <f>IFERROR(__xludf.DUMMYFUNCTION("""COMPUTED_VALUE"""),5.700543774179E12)</f>
        <v>5700543774179</v>
      </c>
      <c r="E103" s="4" t="str">
        <f>IFERROR(__xludf.DUMMYFUNCTION("""COMPUTED_VALUE"""),"উমবাদ আলী")</f>
        <v>উমবাদ আলী</v>
      </c>
      <c r="F103" s="4" t="str">
        <f>IFERROR(__xludf.DUMMYFUNCTION("""COMPUTED_VALUE"""),"মোছাঃ সাহারন নেছা")</f>
        <v>মোছাঃ সাহারন নেছা</v>
      </c>
      <c r="G103" s="4" t="str">
        <f>IFERROR(__xludf.DUMMYFUNCTION("""COMPUTED_VALUE"""),"০৫/১০/১৯৭৪")</f>
        <v>০৫/১০/১৯৭৪</v>
      </c>
      <c r="H103" s="4" t="str">
        <f>IFERROR(__xludf.DUMMYFUNCTION("""COMPUTED_VALUE"""),"গৃহিনী")</f>
        <v>গৃহিনী</v>
      </c>
      <c r="I103" s="4" t="str">
        <f>IFERROR(__xludf.DUMMYFUNCTION("""COMPUTED_VALUE"""),"""মহিষাখোলা")</f>
        <v>"মহিষাখোলা</v>
      </c>
      <c r="J103" s="4" t="str">
        <f>IFERROR(__xludf.DUMMYFUNCTION("""COMPUTED_VALUE""")," গাংনী")</f>
        <v> গাংনী</v>
      </c>
      <c r="K103" s="4" t="str">
        <f>IFERROR(__xludf.DUMMYFUNCTION("""COMPUTED_VALUE""")," মেহেরপুর""")</f>
        <v> মেহেরপুর"</v>
      </c>
    </row>
    <row r="104" ht="15.75" customHeight="1">
      <c r="A104" s="8" t="s">
        <v>2305</v>
      </c>
      <c r="B104" s="4">
        <f>IFERROR(__xludf.DUMMYFUNCTION("SPLIT(A104,"","")"),107.0)</f>
        <v>107</v>
      </c>
      <c r="C104" s="4" t="str">
        <f>IFERROR(__xludf.DUMMYFUNCTION("""COMPUTED_VALUE"""),"মোছাঃ নাসিমা খাতুন")</f>
        <v>মোছাঃ নাসিমা খাতুন</v>
      </c>
      <c r="D104" s="4">
        <f>IFERROR(__xludf.DUMMYFUNCTION("""COMPUTED_VALUE"""),5.70054377418E12)</f>
        <v>5700543774180</v>
      </c>
      <c r="E104" s="4" t="str">
        <f>IFERROR(__xludf.DUMMYFUNCTION("""COMPUTED_VALUE"""),"নিয়াকত আলী")</f>
        <v>নিয়াকত আলী</v>
      </c>
      <c r="F104" s="4" t="str">
        <f>IFERROR(__xludf.DUMMYFUNCTION("""COMPUTED_VALUE"""),"মোছাঃ ছামিরন নেছা")</f>
        <v>মোছাঃ ছামিরন নেছা</v>
      </c>
      <c r="G104" s="4" t="str">
        <f>IFERROR(__xludf.DUMMYFUNCTION("""COMPUTED_VALUE"""),"১০/০৩/১৯৭৯")</f>
        <v>১০/০৩/১৯৭৯</v>
      </c>
      <c r="H104" s="4" t="str">
        <f>IFERROR(__xludf.DUMMYFUNCTION("""COMPUTED_VALUE"""),"গৃহিনী")</f>
        <v>গৃহিনী</v>
      </c>
      <c r="I104" s="4" t="str">
        <f>IFERROR(__xludf.DUMMYFUNCTION("""COMPUTED_VALUE"""),"""মহিষাখোলা")</f>
        <v>"মহিষাখোলা</v>
      </c>
      <c r="J104" s="4" t="str">
        <f>IFERROR(__xludf.DUMMYFUNCTION("""COMPUTED_VALUE""")," গাংনী")</f>
        <v> গাংনী</v>
      </c>
      <c r="K104" s="4" t="str">
        <f>IFERROR(__xludf.DUMMYFUNCTION("""COMPUTED_VALUE""")," মেহেরপুর""")</f>
        <v> মেহেরপুর"</v>
      </c>
    </row>
    <row r="105" ht="15.75" customHeight="1">
      <c r="A105" s="8" t="s">
        <v>2306</v>
      </c>
      <c r="B105" s="4">
        <f>IFERROR(__xludf.DUMMYFUNCTION("SPLIT(A105,"","")"),108.0)</f>
        <v>108</v>
      </c>
      <c r="C105" s="4" t="str">
        <f>IFERROR(__xludf.DUMMYFUNCTION("""COMPUTED_VALUE"""),"মোছাঃ নাসিমা খাতুন")</f>
        <v>মোছাঃ নাসিমা খাতুন</v>
      </c>
      <c r="D105" s="4">
        <f>IFERROR(__xludf.DUMMYFUNCTION("""COMPUTED_VALUE"""),5.700543774182E12)</f>
        <v>5700543774182</v>
      </c>
      <c r="E105" s="4" t="str">
        <f>IFERROR(__xludf.DUMMYFUNCTION("""COMPUTED_VALUE"""),"শুকুর বিশ্বাস")</f>
        <v>শুকুর বিশ্বাস</v>
      </c>
      <c r="F105" s="4" t="str">
        <f>IFERROR(__xludf.DUMMYFUNCTION("""COMPUTED_VALUE"""),"রমেছা খাতুন")</f>
        <v>রমেছা খাতুন</v>
      </c>
      <c r="G105" s="4" t="str">
        <f>IFERROR(__xludf.DUMMYFUNCTION("""COMPUTED_VALUE"""),"০৫/১০/১৯৭১")</f>
        <v>০৫/১০/১৯৭১</v>
      </c>
      <c r="H105" s="4" t="str">
        <f>IFERROR(__xludf.DUMMYFUNCTION("""COMPUTED_VALUE"""),"গৃহিনী")</f>
        <v>গৃহিনী</v>
      </c>
      <c r="I105" s="4" t="str">
        <f>IFERROR(__xludf.DUMMYFUNCTION("""COMPUTED_VALUE"""),"""মহিষাখোলা")</f>
        <v>"মহিষাখোলা</v>
      </c>
      <c r="J105" s="4" t="str">
        <f>IFERROR(__xludf.DUMMYFUNCTION("""COMPUTED_VALUE""")," গাংনী")</f>
        <v> গাংনী</v>
      </c>
      <c r="K105" s="4" t="str">
        <f>IFERROR(__xludf.DUMMYFUNCTION("""COMPUTED_VALUE""")," মেহেরপুর""")</f>
        <v> মেহেরপুর"</v>
      </c>
    </row>
    <row r="106" ht="15.75" customHeight="1">
      <c r="A106" s="8" t="s">
        <v>2307</v>
      </c>
      <c r="B106" s="4">
        <f>IFERROR(__xludf.DUMMYFUNCTION("SPLIT(A106,"","")"),109.0)</f>
        <v>109</v>
      </c>
      <c r="C106" s="4" t="str">
        <f>IFERROR(__xludf.DUMMYFUNCTION("""COMPUTED_VALUE"""),"মোছাঃ ছানোয়ারা খাতুন")</f>
        <v>মোছাঃ ছানোয়ারা খাতুন</v>
      </c>
      <c r="D106" s="4">
        <f>IFERROR(__xludf.DUMMYFUNCTION("""COMPUTED_VALUE"""),5.700543774196E12)</f>
        <v>5700543774196</v>
      </c>
      <c r="E106" s="4" t="str">
        <f>IFERROR(__xludf.DUMMYFUNCTION("""COMPUTED_VALUE"""),"মোতালেব হোসেন")</f>
        <v>মোতালেব হোসেন</v>
      </c>
      <c r="F106" s="4" t="str">
        <f>IFERROR(__xludf.DUMMYFUNCTION("""COMPUTED_VALUE"""),"নিবাহন বেগম")</f>
        <v>নিবাহন বেগম</v>
      </c>
      <c r="G106" s="4" t="str">
        <f>IFERROR(__xludf.DUMMYFUNCTION("""COMPUTED_VALUE"""),"৩০/১১/১৯৫৯")</f>
        <v>৩০/১১/১৯৫৯</v>
      </c>
      <c r="H106" s="4" t="str">
        <f>IFERROR(__xludf.DUMMYFUNCTION("""COMPUTED_VALUE"""),"গৃহিনী")</f>
        <v>গৃহিনী</v>
      </c>
      <c r="I106" s="4" t="str">
        <f>IFERROR(__xludf.DUMMYFUNCTION("""COMPUTED_VALUE"""),"""মহিষাখোলা")</f>
        <v>"মহিষাখোলা</v>
      </c>
      <c r="J106" s="4" t="str">
        <f>IFERROR(__xludf.DUMMYFUNCTION("""COMPUTED_VALUE""")," গাংনী")</f>
        <v> গাংনী</v>
      </c>
      <c r="K106" s="4" t="str">
        <f>IFERROR(__xludf.DUMMYFUNCTION("""COMPUTED_VALUE""")," মেহেরপুর""")</f>
        <v> মেহেরপুর"</v>
      </c>
    </row>
    <row r="107" ht="15.75" customHeight="1">
      <c r="A107" s="8" t="s">
        <v>2308</v>
      </c>
      <c r="B107" s="4">
        <f>IFERROR(__xludf.DUMMYFUNCTION("SPLIT(A107,"","")"),110.0)</f>
        <v>110</v>
      </c>
      <c r="C107" s="4" t="str">
        <f>IFERROR(__xludf.DUMMYFUNCTION("""COMPUTED_VALUE"""),"মোছাঃ লিলুফা খাতুন")</f>
        <v>মোছাঃ লিলুফা খাতুন</v>
      </c>
      <c r="D107" s="4">
        <f>IFERROR(__xludf.DUMMYFUNCTION("""COMPUTED_VALUE"""),5.700543774197E12)</f>
        <v>5700543774197</v>
      </c>
      <c r="E107" s="4" t="str">
        <f>IFERROR(__xludf.DUMMYFUNCTION("""COMPUTED_VALUE"""),"মোঃ কফিল উদ্দীন")</f>
        <v>মোঃ কফিল উদ্দীন</v>
      </c>
      <c r="F107" s="4" t="str">
        <f>IFERROR(__xludf.DUMMYFUNCTION("""COMPUTED_VALUE"""),"মোছাঃ সুফিয়া বেগম")</f>
        <v>মোছাঃ সুফিয়া বেগম</v>
      </c>
      <c r="G107" s="4" t="str">
        <f>IFERROR(__xludf.DUMMYFUNCTION("""COMPUTED_VALUE"""),"১৫/০২/১৯৭৩")</f>
        <v>১৫/০২/১৯৭৩</v>
      </c>
      <c r="H107" s="4" t="str">
        <f>IFERROR(__xludf.DUMMYFUNCTION("""COMPUTED_VALUE"""),"গৃহিনী")</f>
        <v>গৃহিনী</v>
      </c>
      <c r="I107" s="4" t="str">
        <f>IFERROR(__xludf.DUMMYFUNCTION("""COMPUTED_VALUE"""),"""মহিষাখোলা")</f>
        <v>"মহিষাখোলা</v>
      </c>
      <c r="J107" s="4" t="str">
        <f>IFERROR(__xludf.DUMMYFUNCTION("""COMPUTED_VALUE""")," গাংনী")</f>
        <v> গাংনী</v>
      </c>
      <c r="K107" s="4" t="str">
        <f>IFERROR(__xludf.DUMMYFUNCTION("""COMPUTED_VALUE""")," মেহেরপুর""")</f>
        <v> মেহেরপুর"</v>
      </c>
    </row>
    <row r="108" ht="15.75" customHeight="1">
      <c r="A108" s="8" t="s">
        <v>2309</v>
      </c>
      <c r="B108" s="4">
        <f>IFERROR(__xludf.DUMMYFUNCTION("SPLIT(A108,"","")"),111.0)</f>
        <v>111</v>
      </c>
      <c r="C108" s="4" t="str">
        <f>IFERROR(__xludf.DUMMYFUNCTION("""COMPUTED_VALUE"""),"মোছাঃ বেদানা খাতুন")</f>
        <v>মোছাঃ বেদানা খাতুন</v>
      </c>
      <c r="D108" s="4">
        <f>IFERROR(__xludf.DUMMYFUNCTION("""COMPUTED_VALUE"""),5.700543774198E12)</f>
        <v>5700543774198</v>
      </c>
      <c r="E108" s="4" t="str">
        <f>IFERROR(__xludf.DUMMYFUNCTION("""COMPUTED_VALUE"""),"মোঃ নাজিমুদ্দীন")</f>
        <v>মোঃ নাজিমুদ্দীন</v>
      </c>
      <c r="F108" s="4" t="str">
        <f>IFERROR(__xludf.DUMMYFUNCTION("""COMPUTED_VALUE"""),"মোছাঃ ছবেদা বেগম")</f>
        <v>মোছাঃ ছবেদা বেগম</v>
      </c>
      <c r="G108" s="4" t="str">
        <f>IFERROR(__xludf.DUMMYFUNCTION("""COMPUTED_VALUE"""),"০৭/০৯/১৯৮১")</f>
        <v>০৭/০৯/১৯৮১</v>
      </c>
      <c r="H108" s="4" t="str">
        <f>IFERROR(__xludf.DUMMYFUNCTION("""COMPUTED_VALUE"""),"গৃহিনী")</f>
        <v>গৃহিনী</v>
      </c>
      <c r="I108" s="4" t="str">
        <f>IFERROR(__xludf.DUMMYFUNCTION("""COMPUTED_VALUE"""),"""মহিষাখোলা")</f>
        <v>"মহিষাখোলা</v>
      </c>
      <c r="J108" s="4" t="str">
        <f>IFERROR(__xludf.DUMMYFUNCTION("""COMPUTED_VALUE""")," গাংনী")</f>
        <v> গাংনী</v>
      </c>
      <c r="K108" s="4" t="str">
        <f>IFERROR(__xludf.DUMMYFUNCTION("""COMPUTED_VALUE""")," মেহেরপুর""")</f>
        <v> মেহেরপুর"</v>
      </c>
    </row>
    <row r="109" ht="15.75" customHeight="1">
      <c r="A109" s="8" t="s">
        <v>2310</v>
      </c>
      <c r="B109" s="4">
        <f>IFERROR(__xludf.DUMMYFUNCTION("SPLIT(A109,"","")"),112.0)</f>
        <v>112</v>
      </c>
      <c r="C109" s="4" t="str">
        <f>IFERROR(__xludf.DUMMYFUNCTION("""COMPUTED_VALUE"""),"মোছাঃ ছদিরন নেছা")</f>
        <v>মোছাঃ ছদিরন নেছা</v>
      </c>
      <c r="D109" s="4">
        <f>IFERROR(__xludf.DUMMYFUNCTION("""COMPUTED_VALUE"""),5.700543774199E12)</f>
        <v>5700543774199</v>
      </c>
      <c r="E109" s="4" t="str">
        <f>IFERROR(__xludf.DUMMYFUNCTION("""COMPUTED_VALUE"""),"মহাম্মদ মন্ডল")</f>
        <v>মহাম্মদ মন্ডল</v>
      </c>
      <c r="F109" s="4" t="str">
        <f>IFERROR(__xludf.DUMMYFUNCTION("""COMPUTED_VALUE"""),"তুফাতন নেছা")</f>
        <v>তুফাতন নেছা</v>
      </c>
      <c r="G109" s="4" t="str">
        <f>IFERROR(__xludf.DUMMYFUNCTION("""COMPUTED_VALUE"""),"০৪/০৭/১৯৪৯")</f>
        <v>০৪/০৭/১৯৪৯</v>
      </c>
      <c r="H109" s="4" t="str">
        <f>IFERROR(__xludf.DUMMYFUNCTION("""COMPUTED_VALUE"""),"গৃহিনী")</f>
        <v>গৃহিনী</v>
      </c>
      <c r="I109" s="4" t="str">
        <f>IFERROR(__xludf.DUMMYFUNCTION("""COMPUTED_VALUE"""),"""মহিষাখোলা")</f>
        <v>"মহিষাখোলা</v>
      </c>
      <c r="J109" s="4" t="str">
        <f>IFERROR(__xludf.DUMMYFUNCTION("""COMPUTED_VALUE""")," গাংনী")</f>
        <v> গাংনী</v>
      </c>
      <c r="K109" s="4" t="str">
        <f>IFERROR(__xludf.DUMMYFUNCTION("""COMPUTED_VALUE""")," মেহেরপুর""")</f>
        <v> মেহেরপুর"</v>
      </c>
    </row>
    <row r="110" ht="15.75" customHeight="1">
      <c r="A110" s="8" t="s">
        <v>2311</v>
      </c>
      <c r="B110" s="4">
        <f>IFERROR(__xludf.DUMMYFUNCTION("SPLIT(A110,"","")"),113.0)</f>
        <v>113</v>
      </c>
      <c r="C110" s="4" t="str">
        <f>IFERROR(__xludf.DUMMYFUNCTION("""COMPUTED_VALUE"""),"মোছাঃ আকলিমা খাতুন")</f>
        <v>মোছাঃ আকলিমা খাতুন</v>
      </c>
      <c r="D110" s="4">
        <f>IFERROR(__xludf.DUMMYFUNCTION("""COMPUTED_VALUE"""),5.700543774206E12)</f>
        <v>5700543774206</v>
      </c>
      <c r="E110" s="4" t="str">
        <f>IFERROR(__xludf.DUMMYFUNCTION("""COMPUTED_VALUE"""),"মোঃ গফ্ফোর মন্ডল")</f>
        <v>মোঃ গফ্ফোর মন্ডল</v>
      </c>
      <c r="F110" s="4" t="str">
        <f>IFERROR(__xludf.DUMMYFUNCTION("""COMPUTED_VALUE"""),"কমেলা বেগম")</f>
        <v>কমেলা বেগম</v>
      </c>
      <c r="G110" s="4" t="str">
        <f>IFERROR(__xludf.DUMMYFUNCTION("""COMPUTED_VALUE"""),"২০/০৫/১৯৬৭")</f>
        <v>২০/০৫/১৯৬৭</v>
      </c>
      <c r="H110" s="4" t="str">
        <f>IFERROR(__xludf.DUMMYFUNCTION("""COMPUTED_VALUE"""),"গৃহিনী")</f>
        <v>গৃহিনী</v>
      </c>
      <c r="I110" s="4" t="str">
        <f>IFERROR(__xludf.DUMMYFUNCTION("""COMPUTED_VALUE"""),"""মহিষাখোলা")</f>
        <v>"মহিষাখোলা</v>
      </c>
      <c r="J110" s="4" t="str">
        <f>IFERROR(__xludf.DUMMYFUNCTION("""COMPUTED_VALUE""")," গাংনী")</f>
        <v> গাংনী</v>
      </c>
      <c r="K110" s="4" t="str">
        <f>IFERROR(__xludf.DUMMYFUNCTION("""COMPUTED_VALUE""")," মেহেরপুর""")</f>
        <v> মেহেরপুর"</v>
      </c>
    </row>
    <row r="111" ht="15.75" customHeight="1">
      <c r="A111" s="8" t="s">
        <v>2312</v>
      </c>
      <c r="B111" s="4">
        <f>IFERROR(__xludf.DUMMYFUNCTION("SPLIT(A111,"","")"),114.0)</f>
        <v>114</v>
      </c>
      <c r="C111" s="4" t="str">
        <f>IFERROR(__xludf.DUMMYFUNCTION("""COMPUTED_VALUE"""),"মোছাঃ সছরা খাতুন")</f>
        <v>মোছাঃ সছরা খাতুন</v>
      </c>
      <c r="D111" s="4">
        <f>IFERROR(__xludf.DUMMYFUNCTION("""COMPUTED_VALUE"""),5.700543774207E12)</f>
        <v>5700543774207</v>
      </c>
      <c r="E111" s="4" t="str">
        <f>IFERROR(__xludf.DUMMYFUNCTION("""COMPUTED_VALUE"""),"মওলা বকস")</f>
        <v>মওলা বকস</v>
      </c>
      <c r="F111" s="4" t="str">
        <f>IFERROR(__xludf.DUMMYFUNCTION("""COMPUTED_VALUE"""),"কমেলা বেগম")</f>
        <v>কমেলা বেগম</v>
      </c>
      <c r="G111" s="4" t="str">
        <f>IFERROR(__xludf.DUMMYFUNCTION("""COMPUTED_VALUE"""),"০৪/১০/১৯৭০")</f>
        <v>০৪/১০/১৯৭০</v>
      </c>
      <c r="H111" s="4" t="str">
        <f>IFERROR(__xludf.DUMMYFUNCTION("""COMPUTED_VALUE"""),"গৃহিনী")</f>
        <v>গৃহিনী</v>
      </c>
      <c r="I111" s="4" t="str">
        <f>IFERROR(__xludf.DUMMYFUNCTION("""COMPUTED_VALUE"""),"""মহিষাখোলা")</f>
        <v>"মহিষাখোলা</v>
      </c>
      <c r="J111" s="4" t="str">
        <f>IFERROR(__xludf.DUMMYFUNCTION("""COMPUTED_VALUE""")," গাংনী")</f>
        <v> গাংনী</v>
      </c>
      <c r="K111" s="4" t="str">
        <f>IFERROR(__xludf.DUMMYFUNCTION("""COMPUTED_VALUE""")," মেহেরপুর""")</f>
        <v> মেহেরপুর"</v>
      </c>
    </row>
    <row r="112" ht="15.75" customHeight="1">
      <c r="A112" s="8" t="s">
        <v>2313</v>
      </c>
      <c r="B112" s="4">
        <f>IFERROR(__xludf.DUMMYFUNCTION("SPLIT(A112,"","")"),115.0)</f>
        <v>115</v>
      </c>
      <c r="C112" s="4" t="str">
        <f>IFERROR(__xludf.DUMMYFUNCTION("""COMPUTED_VALUE"""),"মোছাঃ আলিফা খাতুন")</f>
        <v>মোছাঃ আলিফা খাতুন</v>
      </c>
      <c r="D112" s="4">
        <f>IFERROR(__xludf.DUMMYFUNCTION("""COMPUTED_VALUE"""),5.700543774208E12)</f>
        <v>5700543774208</v>
      </c>
      <c r="E112" s="4" t="str">
        <f>IFERROR(__xludf.DUMMYFUNCTION("""COMPUTED_VALUE"""),"মোঃ আলতাব হোসেন")</f>
        <v>মোঃ আলতাব হোসেন</v>
      </c>
      <c r="F112" s="4" t="str">
        <f>IFERROR(__xludf.DUMMYFUNCTION("""COMPUTED_VALUE"""),"মোছাঃ আমেনা বেগম")</f>
        <v>মোছাঃ আমেনা বেগম</v>
      </c>
      <c r="G112" s="4" t="str">
        <f>IFERROR(__xludf.DUMMYFUNCTION("""COMPUTED_VALUE"""),"০৫/০৩/১৯৮২")</f>
        <v>০৫/০৩/১৯৮২</v>
      </c>
      <c r="H112" s="4" t="str">
        <f>IFERROR(__xludf.DUMMYFUNCTION("""COMPUTED_VALUE"""),"গৃহিনী")</f>
        <v>গৃহিনী</v>
      </c>
      <c r="I112" s="4" t="str">
        <f>IFERROR(__xludf.DUMMYFUNCTION("""COMPUTED_VALUE"""),"""মহিষাখোলা")</f>
        <v>"মহিষাখোলা</v>
      </c>
      <c r="J112" s="4" t="str">
        <f>IFERROR(__xludf.DUMMYFUNCTION("""COMPUTED_VALUE""")," গাংনী")</f>
        <v> গাংনী</v>
      </c>
      <c r="K112" s="4" t="str">
        <f>IFERROR(__xludf.DUMMYFUNCTION("""COMPUTED_VALUE""")," মেহেরপুর""")</f>
        <v> মেহেরপুর"</v>
      </c>
    </row>
    <row r="113" ht="15.75" customHeight="1">
      <c r="A113" s="8" t="s">
        <v>2314</v>
      </c>
      <c r="B113" s="4">
        <f>IFERROR(__xludf.DUMMYFUNCTION("SPLIT(A113,"","")"),116.0)</f>
        <v>116</v>
      </c>
      <c r="C113" s="4" t="str">
        <f>IFERROR(__xludf.DUMMYFUNCTION("""COMPUTED_VALUE"""),"মোছাঃ সুফিয়া খাতুন")</f>
        <v>মোছাঃ সুফিয়া খাতুন</v>
      </c>
      <c r="D113" s="4">
        <f>IFERROR(__xludf.DUMMYFUNCTION("""COMPUTED_VALUE"""),5.700543774211E12)</f>
        <v>5700543774211</v>
      </c>
      <c r="E113" s="4" t="str">
        <f>IFERROR(__xludf.DUMMYFUNCTION("""COMPUTED_VALUE"""),"দুধসেখ")</f>
        <v>দুধসেখ</v>
      </c>
      <c r="F113" s="4" t="str">
        <f>IFERROR(__xludf.DUMMYFUNCTION("""COMPUTED_VALUE"""),"মোছাঃ রাহিমা বেগম")</f>
        <v>মোছাঃ রাহিমা বেগম</v>
      </c>
      <c r="G113" s="4" t="str">
        <f>IFERROR(__xludf.DUMMYFUNCTION("""COMPUTED_VALUE"""),"৩১/১২/১৯৬০")</f>
        <v>৩১/১২/১৯৬০</v>
      </c>
      <c r="H113" s="4" t="str">
        <f>IFERROR(__xludf.DUMMYFUNCTION("""COMPUTED_VALUE"""),"গৃহিনী")</f>
        <v>গৃহিনী</v>
      </c>
      <c r="I113" s="4" t="str">
        <f>IFERROR(__xludf.DUMMYFUNCTION("""COMPUTED_VALUE"""),"""মহিষাখোলা")</f>
        <v>"মহিষাখোলা</v>
      </c>
      <c r="J113" s="4" t="str">
        <f>IFERROR(__xludf.DUMMYFUNCTION("""COMPUTED_VALUE""")," গাংনী")</f>
        <v> গাংনী</v>
      </c>
      <c r="K113" s="4" t="str">
        <f>IFERROR(__xludf.DUMMYFUNCTION("""COMPUTED_VALUE""")," মেহেরপুর""")</f>
        <v> মেহেরপুর"</v>
      </c>
    </row>
    <row r="114" ht="15.75" customHeight="1">
      <c r="A114" s="8" t="s">
        <v>2315</v>
      </c>
      <c r="B114" s="4">
        <f>IFERROR(__xludf.DUMMYFUNCTION("SPLIT(A114,"","")"),117.0)</f>
        <v>117</v>
      </c>
      <c r="C114" s="4" t="str">
        <f>IFERROR(__xludf.DUMMYFUNCTION("""COMPUTED_VALUE"""),"মোছাঃ আশরাফন নেছা")</f>
        <v>মোছাঃ আশরাফন নেছা</v>
      </c>
      <c r="D114" s="4">
        <f>IFERROR(__xludf.DUMMYFUNCTION("""COMPUTED_VALUE"""),5.700543774212E12)</f>
        <v>5700543774212</v>
      </c>
      <c r="E114" s="4" t="str">
        <f>IFERROR(__xludf.DUMMYFUNCTION("""COMPUTED_VALUE"""),"মোঃ কাবাতুল্লাহ")</f>
        <v>মোঃ কাবাতুল্লাহ</v>
      </c>
      <c r="F114" s="4" t="str">
        <f>IFERROR(__xludf.DUMMYFUNCTION("""COMPUTED_VALUE"""),"মোছাঃ সাহেরা খাতুন")</f>
        <v>মোছাঃ সাহেরা খাতুন</v>
      </c>
      <c r="G114" s="4" t="str">
        <f>IFERROR(__xludf.DUMMYFUNCTION("""COMPUTED_VALUE"""),"২০/০৬/১৯৭৭")</f>
        <v>২০/০৬/১৯৭৭</v>
      </c>
      <c r="H114" s="4" t="str">
        <f>IFERROR(__xludf.DUMMYFUNCTION("""COMPUTED_VALUE"""),"গৃহিনী")</f>
        <v>গৃহিনী</v>
      </c>
      <c r="I114" s="4" t="str">
        <f>IFERROR(__xludf.DUMMYFUNCTION("""COMPUTED_VALUE"""),"""মহিষাখোলা")</f>
        <v>"মহিষাখোলা</v>
      </c>
      <c r="J114" s="4" t="str">
        <f>IFERROR(__xludf.DUMMYFUNCTION("""COMPUTED_VALUE""")," গাংনী")</f>
        <v> গাংনী</v>
      </c>
      <c r="K114" s="4" t="str">
        <f>IFERROR(__xludf.DUMMYFUNCTION("""COMPUTED_VALUE""")," মেহেরপুর""")</f>
        <v> মেহেরপুর"</v>
      </c>
    </row>
    <row r="115" ht="15.75" customHeight="1">
      <c r="A115" s="8" t="s">
        <v>2316</v>
      </c>
      <c r="B115" s="4">
        <f>IFERROR(__xludf.DUMMYFUNCTION("SPLIT(A115,"","")"),118.0)</f>
        <v>118</v>
      </c>
      <c r="C115" s="4" t="str">
        <f>IFERROR(__xludf.DUMMYFUNCTION("""COMPUTED_VALUE"""),"মোছাঃ টুনুয়ারা খাতুন")</f>
        <v>মোছাঃ টুনুয়ারা খাতুন</v>
      </c>
      <c r="D115" s="4">
        <f>IFERROR(__xludf.DUMMYFUNCTION("""COMPUTED_VALUE"""),5.700543774213E12)</f>
        <v>5700543774213</v>
      </c>
      <c r="E115" s="4" t="str">
        <f>IFERROR(__xludf.DUMMYFUNCTION("""COMPUTED_VALUE"""),"মোঃ আজিজুল হক")</f>
        <v>মোঃ আজিজুল হক</v>
      </c>
      <c r="F115" s="4" t="str">
        <f>IFERROR(__xludf.DUMMYFUNCTION("""COMPUTED_VALUE"""),"মোছাঃ বানুয়ারা খাতুন")</f>
        <v>মোছাঃ বানুয়ারা খাতুন</v>
      </c>
      <c r="G115" s="4" t="str">
        <f>IFERROR(__xludf.DUMMYFUNCTION("""COMPUTED_VALUE"""),"০৩/১০/১৯৮৫")</f>
        <v>০৩/১০/১৯৮৫</v>
      </c>
      <c r="H115" s="4" t="str">
        <f>IFERROR(__xludf.DUMMYFUNCTION("""COMPUTED_VALUE"""),"গৃহিনী")</f>
        <v>গৃহিনী</v>
      </c>
      <c r="I115" s="4" t="str">
        <f>IFERROR(__xludf.DUMMYFUNCTION("""COMPUTED_VALUE"""),"""মহিষাখোলা")</f>
        <v>"মহিষাখোলা</v>
      </c>
      <c r="J115" s="4" t="str">
        <f>IFERROR(__xludf.DUMMYFUNCTION("""COMPUTED_VALUE""")," গাংনী")</f>
        <v> গাংনী</v>
      </c>
      <c r="K115" s="4" t="str">
        <f>IFERROR(__xludf.DUMMYFUNCTION("""COMPUTED_VALUE""")," মেহেরপুর""")</f>
        <v> মেহেরপুর"</v>
      </c>
    </row>
    <row r="116" ht="15.75" customHeight="1">
      <c r="A116" s="8" t="s">
        <v>2317</v>
      </c>
      <c r="B116" s="4">
        <f>IFERROR(__xludf.DUMMYFUNCTION("SPLIT(A116,"","")"),119.0)</f>
        <v>119</v>
      </c>
      <c r="C116" s="4" t="str">
        <f>IFERROR(__xludf.DUMMYFUNCTION("""COMPUTED_VALUE"""),"মোছাঃ মেরিনা খাতুন")</f>
        <v>মোছাঃ মেরিনা খাতুন</v>
      </c>
      <c r="D116" s="4">
        <f>IFERROR(__xludf.DUMMYFUNCTION("""COMPUTED_VALUE"""),5.700543774214E12)</f>
        <v>5700543774214</v>
      </c>
      <c r="E116" s="4" t="str">
        <f>IFERROR(__xludf.DUMMYFUNCTION("""COMPUTED_VALUE"""),"মোঃ আতিয়ার রহমান")</f>
        <v>মোঃ আতিয়ার রহমান</v>
      </c>
      <c r="F116" s="4" t="str">
        <f>IFERROR(__xludf.DUMMYFUNCTION("""COMPUTED_VALUE"""),"মোছাঃ বানিয়ারা খাতুন")</f>
        <v>মোছাঃ বানিয়ারা খাতুন</v>
      </c>
      <c r="G116" s="4" t="str">
        <f>IFERROR(__xludf.DUMMYFUNCTION("""COMPUTED_VALUE"""),"২১/১১/১৯৭৫")</f>
        <v>২১/১১/১৯৭৫</v>
      </c>
      <c r="H116" s="4" t="str">
        <f>IFERROR(__xludf.DUMMYFUNCTION("""COMPUTED_VALUE"""),"গৃহিনী")</f>
        <v>গৃহিনী</v>
      </c>
      <c r="I116" s="4" t="str">
        <f>IFERROR(__xludf.DUMMYFUNCTION("""COMPUTED_VALUE"""),"""মহিষাখোলা")</f>
        <v>"মহিষাখোলা</v>
      </c>
      <c r="J116" s="4" t="str">
        <f>IFERROR(__xludf.DUMMYFUNCTION("""COMPUTED_VALUE""")," গাংনী")</f>
        <v> গাংনী</v>
      </c>
      <c r="K116" s="4" t="str">
        <f>IFERROR(__xludf.DUMMYFUNCTION("""COMPUTED_VALUE""")," মেহেরপুর""")</f>
        <v> মেহেরপুর"</v>
      </c>
    </row>
    <row r="117" ht="15.75" customHeight="1">
      <c r="A117" s="8" t="s">
        <v>2318</v>
      </c>
      <c r="B117" s="4">
        <f>IFERROR(__xludf.DUMMYFUNCTION("SPLIT(A117,"","")"),120.0)</f>
        <v>120</v>
      </c>
      <c r="C117" s="4" t="str">
        <f>IFERROR(__xludf.DUMMYFUNCTION("""COMPUTED_VALUE"""),"মোছাঃ মনোয়ারা খাতুন")</f>
        <v>মোছাঃ মনোয়ারা খাতুন</v>
      </c>
      <c r="D117" s="4">
        <f>IFERROR(__xludf.DUMMYFUNCTION("""COMPUTED_VALUE"""),5.700543774215E12)</f>
        <v>5700543774215</v>
      </c>
      <c r="E117" s="4" t="str">
        <f>IFERROR(__xludf.DUMMYFUNCTION("""COMPUTED_VALUE"""),"মোঃ আবুল কাশেম")</f>
        <v>মোঃ আবুল কাশেম</v>
      </c>
      <c r="F117" s="4" t="str">
        <f>IFERROR(__xludf.DUMMYFUNCTION("""COMPUTED_VALUE"""),"মোছাঃ নুরজাহান বেগম")</f>
        <v>মোছাঃ নুরজাহান বেগম</v>
      </c>
      <c r="G117" s="4" t="str">
        <f>IFERROR(__xludf.DUMMYFUNCTION("""COMPUTED_VALUE"""),"২৫/০৮/১৯৭১")</f>
        <v>২৫/০৮/১৯৭১</v>
      </c>
      <c r="H117" s="4" t="str">
        <f>IFERROR(__xludf.DUMMYFUNCTION("""COMPUTED_VALUE"""),"গৃহিনী")</f>
        <v>গৃহিনী</v>
      </c>
      <c r="I117" s="4" t="str">
        <f>IFERROR(__xludf.DUMMYFUNCTION("""COMPUTED_VALUE"""),"""মহিষাখোলা")</f>
        <v>"মহিষাখোলা</v>
      </c>
      <c r="J117" s="4" t="str">
        <f>IFERROR(__xludf.DUMMYFUNCTION("""COMPUTED_VALUE""")," গাংনী")</f>
        <v> গাংনী</v>
      </c>
      <c r="K117" s="4" t="str">
        <f>IFERROR(__xludf.DUMMYFUNCTION("""COMPUTED_VALUE""")," মেহেরপুর""")</f>
        <v> মেহেরপুর"</v>
      </c>
    </row>
    <row r="118" ht="15.75" customHeight="1">
      <c r="A118" s="8" t="s">
        <v>2319</v>
      </c>
      <c r="B118" s="4">
        <f>IFERROR(__xludf.DUMMYFUNCTION("SPLIT(A118,"","")"),121.0)</f>
        <v>121</v>
      </c>
      <c r="C118" s="4" t="str">
        <f>IFERROR(__xludf.DUMMYFUNCTION("""COMPUTED_VALUE"""),"মোছাঃ মুসলিমা খাতুন")</f>
        <v>মোছাঃ মুসলিমা খাতুন</v>
      </c>
      <c r="D118" s="4">
        <f>IFERROR(__xludf.DUMMYFUNCTION("""COMPUTED_VALUE"""),5.700543774219E12)</f>
        <v>5700543774219</v>
      </c>
      <c r="E118" s="4" t="str">
        <f>IFERROR(__xludf.DUMMYFUNCTION("""COMPUTED_VALUE"""),"আব্দুল মন্ডল")</f>
        <v>আব্দুল মন্ডল</v>
      </c>
      <c r="F118" s="4" t="str">
        <f>IFERROR(__xludf.DUMMYFUNCTION("""COMPUTED_VALUE"""),"মোছাঃ কহিনুর খাতুন")</f>
        <v>মোছাঃ কহিনুর খাতুন</v>
      </c>
      <c r="G118" s="4" t="str">
        <f>IFERROR(__xludf.DUMMYFUNCTION("""COMPUTED_VALUE"""),"৩১/১২/১৯৭১")</f>
        <v>৩১/১২/১৯৭১</v>
      </c>
      <c r="H118" s="4" t="str">
        <f>IFERROR(__xludf.DUMMYFUNCTION("""COMPUTED_VALUE"""),"গৃহিনী")</f>
        <v>গৃহিনী</v>
      </c>
      <c r="I118" s="4" t="str">
        <f>IFERROR(__xludf.DUMMYFUNCTION("""COMPUTED_VALUE"""),"""মহিষাখোলা")</f>
        <v>"মহিষাখোলা</v>
      </c>
      <c r="J118" s="4" t="str">
        <f>IFERROR(__xludf.DUMMYFUNCTION("""COMPUTED_VALUE""")," গাংনী")</f>
        <v> গাংনী</v>
      </c>
      <c r="K118" s="4" t="str">
        <f>IFERROR(__xludf.DUMMYFUNCTION("""COMPUTED_VALUE""")," মেহেরপুর""")</f>
        <v> মেহেরপুর"</v>
      </c>
    </row>
    <row r="119" ht="15.75" customHeight="1">
      <c r="A119" s="8" t="s">
        <v>2320</v>
      </c>
      <c r="B119" s="4">
        <f>IFERROR(__xludf.DUMMYFUNCTION("SPLIT(A119,"","")"),122.0)</f>
        <v>122</v>
      </c>
      <c r="C119" s="4" t="str">
        <f>IFERROR(__xludf.DUMMYFUNCTION("""COMPUTED_VALUE"""),"মোছাঃ মমতাজ বেগম")</f>
        <v>মোছাঃ মমতাজ বেগম</v>
      </c>
      <c r="D119" s="4">
        <f>IFERROR(__xludf.DUMMYFUNCTION("""COMPUTED_VALUE"""),5.70054377422E12)</f>
        <v>5700543774220</v>
      </c>
      <c r="E119" s="4" t="str">
        <f>IFERROR(__xludf.DUMMYFUNCTION("""COMPUTED_VALUE"""),"মোঃ হরদম আলী")</f>
        <v>মোঃ হরদম আলী</v>
      </c>
      <c r="F119" s="4" t="str">
        <f>IFERROR(__xludf.DUMMYFUNCTION("""COMPUTED_VALUE"""),"মোছাঃ আসমা খাতুন")</f>
        <v>মোছাঃ আসমা খাতুন</v>
      </c>
      <c r="G119" s="4" t="str">
        <f>IFERROR(__xludf.DUMMYFUNCTION("""COMPUTED_VALUE"""),"০৫/১০/১৯৮৬")</f>
        <v>০৫/১০/১৯৮৬</v>
      </c>
      <c r="H119" s="4" t="str">
        <f>IFERROR(__xludf.DUMMYFUNCTION("""COMPUTED_VALUE"""),"গৃহিনী")</f>
        <v>গৃহিনী</v>
      </c>
      <c r="I119" s="4" t="str">
        <f>IFERROR(__xludf.DUMMYFUNCTION("""COMPUTED_VALUE"""),"""মহিষাখোলা")</f>
        <v>"মহিষাখোলা</v>
      </c>
      <c r="J119" s="4" t="str">
        <f>IFERROR(__xludf.DUMMYFUNCTION("""COMPUTED_VALUE""")," গাংনী")</f>
        <v> গাংনী</v>
      </c>
      <c r="K119" s="4" t="str">
        <f>IFERROR(__xludf.DUMMYFUNCTION("""COMPUTED_VALUE""")," মেহেরপুর""")</f>
        <v> মেহেরপুর"</v>
      </c>
    </row>
    <row r="120" ht="15.75" customHeight="1">
      <c r="A120" s="8" t="s">
        <v>2321</v>
      </c>
      <c r="B120" s="4">
        <f>IFERROR(__xludf.DUMMYFUNCTION("SPLIT(A120,"","")"),123.0)</f>
        <v>123</v>
      </c>
      <c r="C120" s="4" t="str">
        <f>IFERROR(__xludf.DUMMYFUNCTION("""COMPUTED_VALUE"""),"মোছাঃ ছমিরন নেছা")</f>
        <v>মোছাঃ ছমিরন নেছা</v>
      </c>
      <c r="D120" s="4">
        <f>IFERROR(__xludf.DUMMYFUNCTION("""COMPUTED_VALUE"""),5.700543774229E12)</f>
        <v>5700543774229</v>
      </c>
      <c r="E120" s="4" t="str">
        <f>IFERROR(__xludf.DUMMYFUNCTION("""COMPUTED_VALUE"""),"ছামছদ্দীন")</f>
        <v>ছামছদ্দীন</v>
      </c>
      <c r="F120" s="4" t="str">
        <f>IFERROR(__xludf.DUMMYFUNCTION("""COMPUTED_VALUE"""),"মোছাঃ হালিমা খাতুন")</f>
        <v>মোছাঃ হালিমা খাতুন</v>
      </c>
      <c r="G120" s="4" t="str">
        <f>IFERROR(__xludf.DUMMYFUNCTION("""COMPUTED_VALUE"""),"১৫/১০/১৯৬৩")</f>
        <v>১৫/১০/১৯৬৩</v>
      </c>
      <c r="H120" s="4" t="str">
        <f>IFERROR(__xludf.DUMMYFUNCTION("""COMPUTED_VALUE"""),"গৃহিনী")</f>
        <v>গৃহিনী</v>
      </c>
      <c r="I120" s="4" t="str">
        <f>IFERROR(__xludf.DUMMYFUNCTION("""COMPUTED_VALUE"""),"""মহিষাখোলা")</f>
        <v>"মহিষাখোলা</v>
      </c>
      <c r="J120" s="4" t="str">
        <f>IFERROR(__xludf.DUMMYFUNCTION("""COMPUTED_VALUE""")," গাংনী")</f>
        <v> গাংনী</v>
      </c>
      <c r="K120" s="4" t="str">
        <f>IFERROR(__xludf.DUMMYFUNCTION("""COMPUTED_VALUE""")," মেহেরপুর""")</f>
        <v> মেহেরপুর"</v>
      </c>
    </row>
    <row r="121" ht="15.75" customHeight="1">
      <c r="A121" s="8" t="s">
        <v>2322</v>
      </c>
      <c r="B121" s="4">
        <f>IFERROR(__xludf.DUMMYFUNCTION("SPLIT(A121,"","")"),124.0)</f>
        <v>124</v>
      </c>
      <c r="C121" s="4" t="str">
        <f>IFERROR(__xludf.DUMMYFUNCTION("""COMPUTED_VALUE"""),"মোছাঃ সাহারন নেছা")</f>
        <v>মোছাঃ সাহারন নেছা</v>
      </c>
      <c r="D121" s="4">
        <f>IFERROR(__xludf.DUMMYFUNCTION("""COMPUTED_VALUE"""),5.70054377423E12)</f>
        <v>5700543774230</v>
      </c>
      <c r="E121" s="4" t="str">
        <f>IFERROR(__xludf.DUMMYFUNCTION("""COMPUTED_VALUE"""),"খেদের আলী মন্ডল")</f>
        <v>খেদের আলী মন্ডল</v>
      </c>
      <c r="F121" s="4" t="str">
        <f>IFERROR(__xludf.DUMMYFUNCTION("""COMPUTED_VALUE"""),"মোছাঃ আলেজন বিবি")</f>
        <v>মোছাঃ আলেজন বিবি</v>
      </c>
      <c r="G121" s="4" t="str">
        <f>IFERROR(__xludf.DUMMYFUNCTION("""COMPUTED_VALUE"""),"২৫/১১/১৯৬৭")</f>
        <v>২৫/১১/১৯৬৭</v>
      </c>
      <c r="H121" s="4" t="str">
        <f>IFERROR(__xludf.DUMMYFUNCTION("""COMPUTED_VALUE"""),"গৃহিনী")</f>
        <v>গৃহিনী</v>
      </c>
      <c r="I121" s="4" t="str">
        <f>IFERROR(__xludf.DUMMYFUNCTION("""COMPUTED_VALUE"""),"""মহিষাখোলা")</f>
        <v>"মহিষাখোলা</v>
      </c>
      <c r="J121" s="4" t="str">
        <f>IFERROR(__xludf.DUMMYFUNCTION("""COMPUTED_VALUE""")," গাংনী")</f>
        <v> গাংনী</v>
      </c>
      <c r="K121" s="4" t="str">
        <f>IFERROR(__xludf.DUMMYFUNCTION("""COMPUTED_VALUE""")," মেহেরপুর""")</f>
        <v> মেহেরপুর"</v>
      </c>
    </row>
    <row r="122" ht="15.75" customHeight="1">
      <c r="A122" s="8" t="s">
        <v>2323</v>
      </c>
      <c r="B122" s="4">
        <f>IFERROR(__xludf.DUMMYFUNCTION("SPLIT(A122,"","")"),125.0)</f>
        <v>125</v>
      </c>
      <c r="C122" s="4" t="str">
        <f>IFERROR(__xludf.DUMMYFUNCTION("""COMPUTED_VALUE"""),"মোছাঃ নুরুন্নাহার বেগম")</f>
        <v>মোছাঃ নুরুন্নাহার বেগম</v>
      </c>
      <c r="D122" s="4">
        <f>IFERROR(__xludf.DUMMYFUNCTION("""COMPUTED_VALUE"""),5.700543774232E12)</f>
        <v>5700543774232</v>
      </c>
      <c r="E122" s="4" t="str">
        <f>IFERROR(__xludf.DUMMYFUNCTION("""COMPUTED_VALUE"""),"দাউদ আলী বিশ্বাস")</f>
        <v>দাউদ আলী বিশ্বাস</v>
      </c>
      <c r="F122" s="4" t="str">
        <f>IFERROR(__xludf.DUMMYFUNCTION("""COMPUTED_VALUE"""),"আনোয়ারা খাতুন")</f>
        <v>আনোয়ারা খাতুন</v>
      </c>
      <c r="G122" s="4" t="str">
        <f>IFERROR(__xludf.DUMMYFUNCTION("""COMPUTED_VALUE"""),"২১/০৩/১৯৬৯")</f>
        <v>২১/০৩/১৯৬৯</v>
      </c>
      <c r="H122" s="4" t="str">
        <f>IFERROR(__xludf.DUMMYFUNCTION("""COMPUTED_VALUE"""),"গৃহিনী")</f>
        <v>গৃহিনী</v>
      </c>
      <c r="I122" s="4" t="str">
        <f>IFERROR(__xludf.DUMMYFUNCTION("""COMPUTED_VALUE"""),"""মহিষাখোলা")</f>
        <v>"মহিষাখোলা</v>
      </c>
      <c r="J122" s="4" t="str">
        <f>IFERROR(__xludf.DUMMYFUNCTION("""COMPUTED_VALUE""")," গাংনী")</f>
        <v> গাংনী</v>
      </c>
      <c r="K122" s="4" t="str">
        <f>IFERROR(__xludf.DUMMYFUNCTION("""COMPUTED_VALUE""")," মেহেরপুর""")</f>
        <v> মেহেরপুর"</v>
      </c>
    </row>
    <row r="123" ht="15.75" customHeight="1">
      <c r="A123" s="8" t="s">
        <v>2324</v>
      </c>
      <c r="B123" s="4">
        <f>IFERROR(__xludf.DUMMYFUNCTION("SPLIT(A123,"","")"),126.0)</f>
        <v>126</v>
      </c>
      <c r="C123" s="4" t="str">
        <f>IFERROR(__xludf.DUMMYFUNCTION("""COMPUTED_VALUE"""),"মোছাঃ ফাহিমা খাতুন")</f>
        <v>মোছাঃ ফাহিমা খাতুন</v>
      </c>
      <c r="D123" s="4">
        <f>IFERROR(__xludf.DUMMYFUNCTION("""COMPUTED_VALUE"""),5.700543774235E12)</f>
        <v>5700543774235</v>
      </c>
      <c r="E123" s="4" t="str">
        <f>IFERROR(__xludf.DUMMYFUNCTION("""COMPUTED_VALUE"""),"আব্দুল মোতালেব")</f>
        <v>আব্দুল মোতালেব</v>
      </c>
      <c r="F123" s="4" t="str">
        <f>IFERROR(__xludf.DUMMYFUNCTION("""COMPUTED_VALUE"""),"মোছাঃ হামিদা বেগম")</f>
        <v>মোছাঃ হামিদা বেগম</v>
      </c>
      <c r="G123" s="4" t="str">
        <f>IFERROR(__xludf.DUMMYFUNCTION("""COMPUTED_VALUE"""),"৩১/১২/১৯৭৮")</f>
        <v>৩১/১২/১৯৭৮</v>
      </c>
      <c r="H123" s="4" t="str">
        <f>IFERROR(__xludf.DUMMYFUNCTION("""COMPUTED_VALUE"""),"গৃহিনী")</f>
        <v>গৃহিনী</v>
      </c>
      <c r="I123" s="4" t="str">
        <f>IFERROR(__xludf.DUMMYFUNCTION("""COMPUTED_VALUE"""),"""মহিষাখোলা")</f>
        <v>"মহিষাখোলা</v>
      </c>
      <c r="J123" s="4" t="str">
        <f>IFERROR(__xludf.DUMMYFUNCTION("""COMPUTED_VALUE""")," গাংনী")</f>
        <v> গাংনী</v>
      </c>
      <c r="K123" s="4" t="str">
        <f>IFERROR(__xludf.DUMMYFUNCTION("""COMPUTED_VALUE""")," মেহেরপুর""")</f>
        <v> মেহেরপুর"</v>
      </c>
    </row>
    <row r="124" ht="15.75" customHeight="1">
      <c r="A124" s="8" t="s">
        <v>2325</v>
      </c>
      <c r="B124" s="4">
        <f>IFERROR(__xludf.DUMMYFUNCTION("SPLIT(A124,"","")"),127.0)</f>
        <v>127</v>
      </c>
      <c r="C124" s="4" t="str">
        <f>IFERROR(__xludf.DUMMYFUNCTION("""COMPUTED_VALUE"""),"মোছাঃ পারভিনা খাতুন")</f>
        <v>মোছাঃ পারভিনা খাতুন</v>
      </c>
      <c r="D124" s="4">
        <f>IFERROR(__xludf.DUMMYFUNCTION("""COMPUTED_VALUE"""),5.700543774236E12)</f>
        <v>5700543774236</v>
      </c>
      <c r="E124" s="4" t="str">
        <f>IFERROR(__xludf.DUMMYFUNCTION("""COMPUTED_VALUE"""),"মোঃ আঃ গনি")</f>
        <v>মোঃ আঃ গনি</v>
      </c>
      <c r="F124" s="4" t="str">
        <f>IFERROR(__xludf.DUMMYFUNCTION("""COMPUTED_VALUE"""),"মোছাঃ আসমা খাতুন")</f>
        <v>মোছাঃ আসমা খাতুন</v>
      </c>
      <c r="G124" s="4" t="str">
        <f>IFERROR(__xludf.DUMMYFUNCTION("""COMPUTED_VALUE"""),"১০/০৪/১৯৮৩")</f>
        <v>১০/০৪/১৯৮৩</v>
      </c>
      <c r="H124" s="4" t="str">
        <f>IFERROR(__xludf.DUMMYFUNCTION("""COMPUTED_VALUE"""),"গৃহিনী")</f>
        <v>গৃহিনী</v>
      </c>
      <c r="I124" s="4" t="str">
        <f>IFERROR(__xludf.DUMMYFUNCTION("""COMPUTED_VALUE"""),"""মহিষাখোলা")</f>
        <v>"মহিষাখোলা</v>
      </c>
      <c r="J124" s="4" t="str">
        <f>IFERROR(__xludf.DUMMYFUNCTION("""COMPUTED_VALUE""")," গাংনী")</f>
        <v> গাংনী</v>
      </c>
      <c r="K124" s="4" t="str">
        <f>IFERROR(__xludf.DUMMYFUNCTION("""COMPUTED_VALUE""")," মেহেরপুর""")</f>
        <v> মেহেরপুর"</v>
      </c>
    </row>
    <row r="125" ht="15.75" customHeight="1">
      <c r="A125" s="8" t="s">
        <v>2326</v>
      </c>
      <c r="B125" s="4">
        <f>IFERROR(__xludf.DUMMYFUNCTION("SPLIT(A125,"","")"),129.0)</f>
        <v>129</v>
      </c>
      <c r="C125" s="4" t="str">
        <f>IFERROR(__xludf.DUMMYFUNCTION("""COMPUTED_VALUE"""),"মোছাঃ রাশিরা খাতুন")</f>
        <v>মোছাঃ রাশিরা খাতুন</v>
      </c>
      <c r="D125" s="4">
        <f>IFERROR(__xludf.DUMMYFUNCTION("""COMPUTED_VALUE"""),5.700543774238E12)</f>
        <v>5700543774238</v>
      </c>
      <c r="E125" s="4" t="str">
        <f>IFERROR(__xludf.DUMMYFUNCTION("""COMPUTED_VALUE"""),"মোঃ আউব আলী")</f>
        <v>মোঃ আউব আলী</v>
      </c>
      <c r="F125" s="4" t="str">
        <f>IFERROR(__xludf.DUMMYFUNCTION("""COMPUTED_VALUE"""),"মোছাঃ কহিনুর খাতুন")</f>
        <v>মোছাঃ কহিনুর খাতুন</v>
      </c>
      <c r="G125" s="4" t="str">
        <f>IFERROR(__xludf.DUMMYFUNCTION("""COMPUTED_VALUE"""),"২৫/০২/১৯৮০")</f>
        <v>২৫/০২/১৯৮০</v>
      </c>
      <c r="H125" s="4" t="str">
        <f>IFERROR(__xludf.DUMMYFUNCTION("""COMPUTED_VALUE"""),"গৃহিনী")</f>
        <v>গৃহিনী</v>
      </c>
      <c r="I125" s="4" t="str">
        <f>IFERROR(__xludf.DUMMYFUNCTION("""COMPUTED_VALUE"""),"""মহিষাখোলা")</f>
        <v>"মহিষাখোলা</v>
      </c>
      <c r="J125" s="4" t="str">
        <f>IFERROR(__xludf.DUMMYFUNCTION("""COMPUTED_VALUE""")," গাংনী")</f>
        <v> গাংনী</v>
      </c>
      <c r="K125" s="4" t="str">
        <f>IFERROR(__xludf.DUMMYFUNCTION("""COMPUTED_VALUE""")," মেহেরপুর""")</f>
        <v> মেহেরপুর"</v>
      </c>
    </row>
    <row r="126" ht="15.75" customHeight="1">
      <c r="A126" s="8" t="s">
        <v>2327</v>
      </c>
      <c r="B126" s="4">
        <f>IFERROR(__xludf.DUMMYFUNCTION("SPLIT(A126,"","")"),130.0)</f>
        <v>130</v>
      </c>
      <c r="C126" s="4" t="str">
        <f>IFERROR(__xludf.DUMMYFUNCTION("""COMPUTED_VALUE"""),"মোছাঃ নাজিরা খাতুন")</f>
        <v>মোছাঃ নাজিরা খাতুন</v>
      </c>
      <c r="D126" s="4">
        <f>IFERROR(__xludf.DUMMYFUNCTION("""COMPUTED_VALUE"""),5.700543774239E12)</f>
        <v>5700543774239</v>
      </c>
      <c r="E126" s="4" t="str">
        <f>IFERROR(__xludf.DUMMYFUNCTION("""COMPUTED_VALUE"""),"মানিক মন্ডল")</f>
        <v>মানিক মন্ডল</v>
      </c>
      <c r="F126" s="4" t="str">
        <f>IFERROR(__xludf.DUMMYFUNCTION("""COMPUTED_VALUE"""),"মোছাঃ জরিনা খাতুন")</f>
        <v>মোছাঃ জরিনা খাতুন</v>
      </c>
      <c r="G126" s="4" t="str">
        <f>IFERROR(__xludf.DUMMYFUNCTION("""COMPUTED_VALUE"""),"০৫/০৯/১৯৭০")</f>
        <v>০৫/০৯/১৯৭০</v>
      </c>
      <c r="H126" s="4" t="str">
        <f>IFERROR(__xludf.DUMMYFUNCTION("""COMPUTED_VALUE"""),"গৃহিনী")</f>
        <v>গৃহিনী</v>
      </c>
      <c r="I126" s="4" t="str">
        <f>IFERROR(__xludf.DUMMYFUNCTION("""COMPUTED_VALUE"""),"""মহিষাখোলা")</f>
        <v>"মহিষাখোলা</v>
      </c>
      <c r="J126" s="4" t="str">
        <f>IFERROR(__xludf.DUMMYFUNCTION("""COMPUTED_VALUE""")," গাংনী")</f>
        <v> গাংনী</v>
      </c>
      <c r="K126" s="4" t="str">
        <f>IFERROR(__xludf.DUMMYFUNCTION("""COMPUTED_VALUE""")," মেহেরপুর""")</f>
        <v> মেহেরপুর"</v>
      </c>
    </row>
    <row r="127" ht="15.75" customHeight="1">
      <c r="A127" s="8" t="s">
        <v>2328</v>
      </c>
      <c r="B127" s="4">
        <f>IFERROR(__xludf.DUMMYFUNCTION("SPLIT(A127,"","")"),131.0)</f>
        <v>131</v>
      </c>
      <c r="C127" s="4" t="str">
        <f>IFERROR(__xludf.DUMMYFUNCTION("""COMPUTED_VALUE"""),"মোছাঃ রেজিয়া খাতুন")</f>
        <v>মোছাঃ রেজিয়া খাতুন</v>
      </c>
      <c r="D127" s="4">
        <f>IFERROR(__xludf.DUMMYFUNCTION("""COMPUTED_VALUE"""),5.700543774241E12)</f>
        <v>5700543774241</v>
      </c>
      <c r="E127" s="4" t="str">
        <f>IFERROR(__xludf.DUMMYFUNCTION("""COMPUTED_VALUE"""),"মোঃ গরিব উল্লাহ")</f>
        <v>মোঃ গরিব উল্লাহ</v>
      </c>
      <c r="F127" s="4" t="str">
        <f>IFERROR(__xludf.DUMMYFUNCTION("""COMPUTED_VALUE"""),"মোছাঃ নিছারন নেছা")</f>
        <v>মোছাঃ নিছারন নেছা</v>
      </c>
      <c r="G127" s="4" t="str">
        <f>IFERROR(__xludf.DUMMYFUNCTION("""COMPUTED_VALUE"""),"১৫/০৬/১৯৬৭")</f>
        <v>১৫/০৬/১৯৬৭</v>
      </c>
      <c r="H127" s="4" t="str">
        <f>IFERROR(__xludf.DUMMYFUNCTION("""COMPUTED_VALUE"""),"গৃহিনী")</f>
        <v>গৃহিনী</v>
      </c>
      <c r="I127" s="4" t="str">
        <f>IFERROR(__xludf.DUMMYFUNCTION("""COMPUTED_VALUE"""),"""মহিষাখোলা")</f>
        <v>"মহিষাখোলা</v>
      </c>
      <c r="J127" s="4" t="str">
        <f>IFERROR(__xludf.DUMMYFUNCTION("""COMPUTED_VALUE""")," গাংনী")</f>
        <v> গাংনী</v>
      </c>
      <c r="K127" s="4" t="str">
        <f>IFERROR(__xludf.DUMMYFUNCTION("""COMPUTED_VALUE""")," মেহেরপুর""")</f>
        <v> মেহেরপুর"</v>
      </c>
    </row>
    <row r="128" ht="15.75" customHeight="1">
      <c r="A128" s="8" t="s">
        <v>2329</v>
      </c>
      <c r="B128" s="4">
        <f>IFERROR(__xludf.DUMMYFUNCTION("SPLIT(A128,"","")"),132.0)</f>
        <v>132</v>
      </c>
      <c r="C128" s="4" t="str">
        <f>IFERROR(__xludf.DUMMYFUNCTION("""COMPUTED_VALUE"""),"মোছাঃ আছিয়া খাতুন")</f>
        <v>মোছাঃ আছিয়া খাতুন</v>
      </c>
      <c r="D128" s="4">
        <f>IFERROR(__xludf.DUMMYFUNCTION("""COMPUTED_VALUE"""),5.700543774242E12)</f>
        <v>5700543774242</v>
      </c>
      <c r="E128" s="4" t="str">
        <f>IFERROR(__xludf.DUMMYFUNCTION("""COMPUTED_VALUE"""),"হিলিমদ্দীন")</f>
        <v>হিলিমদ্দীন</v>
      </c>
      <c r="F128" s="4" t="str">
        <f>IFERROR(__xludf.DUMMYFUNCTION("""COMPUTED_VALUE"""),"মোছাঃ নুরজাহান খাতুন")</f>
        <v>মোছাঃ নুরজাহান খাতুন</v>
      </c>
      <c r="G128" s="4" t="str">
        <f>IFERROR(__xludf.DUMMYFUNCTION("""COMPUTED_VALUE"""),"১০/০৫/১৯৭৭")</f>
        <v>১০/০৫/১৯৭৭</v>
      </c>
      <c r="H128" s="4" t="str">
        <f>IFERROR(__xludf.DUMMYFUNCTION("""COMPUTED_VALUE"""),"গৃহিনী")</f>
        <v>গৃহিনী</v>
      </c>
      <c r="I128" s="4" t="str">
        <f>IFERROR(__xludf.DUMMYFUNCTION("""COMPUTED_VALUE"""),"""মহিষাখোলা")</f>
        <v>"মহিষাখোলা</v>
      </c>
      <c r="J128" s="4" t="str">
        <f>IFERROR(__xludf.DUMMYFUNCTION("""COMPUTED_VALUE""")," গাংনী")</f>
        <v> গাংনী</v>
      </c>
      <c r="K128" s="4" t="str">
        <f>IFERROR(__xludf.DUMMYFUNCTION("""COMPUTED_VALUE""")," মেহেরপুর""")</f>
        <v> মেহেরপুর"</v>
      </c>
    </row>
    <row r="129" ht="15.75" customHeight="1">
      <c r="A129" s="8" t="s">
        <v>2330</v>
      </c>
      <c r="B129" s="4">
        <f>IFERROR(__xludf.DUMMYFUNCTION("SPLIT(A129,"","")"),133.0)</f>
        <v>133</v>
      </c>
      <c r="C129" s="4" t="str">
        <f>IFERROR(__xludf.DUMMYFUNCTION("""COMPUTED_VALUE"""),"মোছাঃ রওশনারা খাতুন")</f>
        <v>মোছাঃ রওশনারা খাতুন</v>
      </c>
      <c r="D129" s="4">
        <f>IFERROR(__xludf.DUMMYFUNCTION("""COMPUTED_VALUE"""),5.700543774243E12)</f>
        <v>5700543774243</v>
      </c>
      <c r="E129" s="4" t="str">
        <f>IFERROR(__xludf.DUMMYFUNCTION("""COMPUTED_VALUE"""),"মফিজ উদ্দীন")</f>
        <v>মফিজ উদ্দীন</v>
      </c>
      <c r="F129" s="4" t="str">
        <f>IFERROR(__xludf.DUMMYFUNCTION("""COMPUTED_VALUE"""),"আমিরন নেছা")</f>
        <v>আমিরন নেছা</v>
      </c>
      <c r="G129" s="4" t="str">
        <f>IFERROR(__xludf.DUMMYFUNCTION("""COMPUTED_VALUE"""),"৩১/১২/১৯৭০")</f>
        <v>৩১/১২/১৯৭০</v>
      </c>
      <c r="H129" s="4" t="str">
        <f>IFERROR(__xludf.DUMMYFUNCTION("""COMPUTED_VALUE"""),"গৃহিনী")</f>
        <v>গৃহিনী</v>
      </c>
      <c r="I129" s="4" t="str">
        <f>IFERROR(__xludf.DUMMYFUNCTION("""COMPUTED_VALUE"""),"""মহিষাখোলা")</f>
        <v>"মহিষাখোলা</v>
      </c>
      <c r="J129" s="4" t="str">
        <f>IFERROR(__xludf.DUMMYFUNCTION("""COMPUTED_VALUE""")," গাংনী")</f>
        <v> গাংনী</v>
      </c>
      <c r="K129" s="4" t="str">
        <f>IFERROR(__xludf.DUMMYFUNCTION("""COMPUTED_VALUE""")," মেহেরপুর""")</f>
        <v> মেহেরপুর"</v>
      </c>
    </row>
    <row r="130" ht="15.75" customHeight="1">
      <c r="A130" s="8" t="s">
        <v>2331</v>
      </c>
      <c r="B130" s="4">
        <f>IFERROR(__xludf.DUMMYFUNCTION("SPLIT(A130,"","")"),134.0)</f>
        <v>134</v>
      </c>
      <c r="C130" s="4" t="str">
        <f>IFERROR(__xludf.DUMMYFUNCTION("""COMPUTED_VALUE"""),"মোছাঃ তাহিরন নেছা")</f>
        <v>মোছাঃ তাহিরন নেছা</v>
      </c>
      <c r="D130" s="4">
        <f>IFERROR(__xludf.DUMMYFUNCTION("""COMPUTED_VALUE"""),5.700543774259E12)</f>
        <v>5700543774259</v>
      </c>
      <c r="E130" s="4" t="str">
        <f>IFERROR(__xludf.DUMMYFUNCTION("""COMPUTED_VALUE"""),"মোঃ হায়াত মন্ডল")</f>
        <v>মোঃ হায়াত মন্ডল</v>
      </c>
      <c r="F130" s="4" t="str">
        <f>IFERROR(__xludf.DUMMYFUNCTION("""COMPUTED_VALUE"""),"মোছাঃ সুরাতন নেছা")</f>
        <v>মোছাঃ সুরাতন নেছা</v>
      </c>
      <c r="G130" s="4" t="str">
        <f>IFERROR(__xludf.DUMMYFUNCTION("""COMPUTED_VALUE"""),"১০/০৪/১৯৬০")</f>
        <v>১০/০৪/১৯৬০</v>
      </c>
      <c r="H130" s="4" t="str">
        <f>IFERROR(__xludf.DUMMYFUNCTION("""COMPUTED_VALUE"""),"গৃহিনী")</f>
        <v>গৃহিনী</v>
      </c>
      <c r="I130" s="4" t="str">
        <f>IFERROR(__xludf.DUMMYFUNCTION("""COMPUTED_VALUE"""),"""মহিষাখোলা")</f>
        <v>"মহিষাখোলা</v>
      </c>
      <c r="J130" s="4" t="str">
        <f>IFERROR(__xludf.DUMMYFUNCTION("""COMPUTED_VALUE""")," গাংনী")</f>
        <v> গাংনী</v>
      </c>
      <c r="K130" s="4" t="str">
        <f>IFERROR(__xludf.DUMMYFUNCTION("""COMPUTED_VALUE""")," মেহেরপুর""")</f>
        <v> মেহেরপুর"</v>
      </c>
    </row>
    <row r="131" ht="15.75" customHeight="1">
      <c r="A131" s="8" t="s">
        <v>2332</v>
      </c>
      <c r="B131" s="4">
        <f>IFERROR(__xludf.DUMMYFUNCTION("SPLIT(A131,"","")"),135.0)</f>
        <v>135</v>
      </c>
      <c r="C131" s="4" t="str">
        <f>IFERROR(__xludf.DUMMYFUNCTION("""COMPUTED_VALUE"""),"মোছাঃ হাওয়া খাতুন")</f>
        <v>মোছাঃ হাওয়া খাতুন</v>
      </c>
      <c r="D131" s="4">
        <f>IFERROR(__xludf.DUMMYFUNCTION("""COMPUTED_VALUE"""),5.700543774261E12)</f>
        <v>5700543774261</v>
      </c>
      <c r="E131" s="4" t="str">
        <f>IFERROR(__xludf.DUMMYFUNCTION("""COMPUTED_VALUE"""),"আব্দুল বিশ্বাস")</f>
        <v>আব্দুল বিশ্বাস</v>
      </c>
      <c r="F131" s="4" t="str">
        <f>IFERROR(__xludf.DUMMYFUNCTION("""COMPUTED_VALUE"""),"মোছাঃ ছহিরন নেছা")</f>
        <v>মোছাঃ ছহিরন নেছা</v>
      </c>
      <c r="G131" s="4" t="str">
        <f>IFERROR(__xludf.DUMMYFUNCTION("""COMPUTED_VALUE"""),"২০/০৮/১৯৫৭")</f>
        <v>২০/০৮/১৯৫৭</v>
      </c>
      <c r="H131" s="4" t="str">
        <f>IFERROR(__xludf.DUMMYFUNCTION("""COMPUTED_VALUE"""),"গৃহিনী")</f>
        <v>গৃহিনী</v>
      </c>
      <c r="I131" s="4" t="str">
        <f>IFERROR(__xludf.DUMMYFUNCTION("""COMPUTED_VALUE"""),"""মহিষাখোলা")</f>
        <v>"মহিষাখোলা</v>
      </c>
      <c r="J131" s="4" t="str">
        <f>IFERROR(__xludf.DUMMYFUNCTION("""COMPUTED_VALUE""")," গাংনী")</f>
        <v> গাংনী</v>
      </c>
      <c r="K131" s="4" t="str">
        <f>IFERROR(__xludf.DUMMYFUNCTION("""COMPUTED_VALUE""")," মেহেরপুর""")</f>
        <v> মেহেরপুর"</v>
      </c>
    </row>
    <row r="132" ht="15.75" customHeight="1">
      <c r="A132" s="8" t="s">
        <v>2333</v>
      </c>
      <c r="B132" s="4">
        <f>IFERROR(__xludf.DUMMYFUNCTION("SPLIT(A132,"","")"),136.0)</f>
        <v>136</v>
      </c>
      <c r="C132" s="4" t="str">
        <f>IFERROR(__xludf.DUMMYFUNCTION("""COMPUTED_VALUE"""),"মোছাঃ আবেদা খাতুন")</f>
        <v>মোছাঃ আবেদা খাতুন</v>
      </c>
      <c r="D132" s="4">
        <f>IFERROR(__xludf.DUMMYFUNCTION("""COMPUTED_VALUE"""),5.700543774263E12)</f>
        <v>5700543774263</v>
      </c>
      <c r="E132" s="4" t="str">
        <f>IFERROR(__xludf.DUMMYFUNCTION("""COMPUTED_VALUE"""),"নেইমুদ্দীন")</f>
        <v>নেইমুদ্দীন</v>
      </c>
      <c r="F132" s="4" t="str">
        <f>IFERROR(__xludf.DUMMYFUNCTION("""COMPUTED_VALUE"""),"মোছাঃ নিরমলা খাতুন")</f>
        <v>মোছাঃ নিরমলা খাতুন</v>
      </c>
      <c r="G132" s="4" t="str">
        <f>IFERROR(__xludf.DUMMYFUNCTION("""COMPUTED_VALUE"""),"২৫/০৪/১৯৭২")</f>
        <v>২৫/০৪/১৯৭২</v>
      </c>
      <c r="H132" s="4" t="str">
        <f>IFERROR(__xludf.DUMMYFUNCTION("""COMPUTED_VALUE"""),"গৃহিনী")</f>
        <v>গৃহিনী</v>
      </c>
      <c r="I132" s="4" t="str">
        <f>IFERROR(__xludf.DUMMYFUNCTION("""COMPUTED_VALUE"""),"""মহিষাখোলা")</f>
        <v>"মহিষাখোলা</v>
      </c>
      <c r="J132" s="4" t="str">
        <f>IFERROR(__xludf.DUMMYFUNCTION("""COMPUTED_VALUE""")," গাংনী")</f>
        <v> গাংনী</v>
      </c>
      <c r="K132" s="4" t="str">
        <f>IFERROR(__xludf.DUMMYFUNCTION("""COMPUTED_VALUE""")," মেহেরপুর""")</f>
        <v> মেহেরপুর"</v>
      </c>
    </row>
    <row r="133" ht="15.75" customHeight="1">
      <c r="A133" s="8" t="s">
        <v>2334</v>
      </c>
      <c r="B133" s="4">
        <f>IFERROR(__xludf.DUMMYFUNCTION("SPLIT(A133,"","")"),137.0)</f>
        <v>137</v>
      </c>
      <c r="C133" s="4" t="str">
        <f>IFERROR(__xludf.DUMMYFUNCTION("""COMPUTED_VALUE"""),"মোছাঃ ফেরদৌসী আরা")</f>
        <v>মোছাঃ ফেরদৌসী আরা</v>
      </c>
      <c r="D133" s="4">
        <f>IFERROR(__xludf.DUMMYFUNCTION("""COMPUTED_VALUE"""),5.700543774264E12)</f>
        <v>5700543774264</v>
      </c>
      <c r="E133" s="4" t="str">
        <f>IFERROR(__xludf.DUMMYFUNCTION("""COMPUTED_VALUE"""),"মোঃ আঃ হান্নান")</f>
        <v>মোঃ আঃ হান্নান</v>
      </c>
      <c r="F133" s="4" t="str">
        <f>IFERROR(__xludf.DUMMYFUNCTION("""COMPUTED_VALUE"""),"মোছাঃ রুপিয়া খাতুন")</f>
        <v>মোছাঃ রুপিয়া খাতুন</v>
      </c>
      <c r="G133" s="4" t="str">
        <f>IFERROR(__xludf.DUMMYFUNCTION("""COMPUTED_VALUE"""),"৩০/০৫/১৯৬৯")</f>
        <v>৩০/০৫/১৯৬৯</v>
      </c>
      <c r="H133" s="4" t="str">
        <f>IFERROR(__xludf.DUMMYFUNCTION("""COMPUTED_VALUE"""),"গৃহিনী")</f>
        <v>গৃহিনী</v>
      </c>
      <c r="I133" s="4" t="str">
        <f>IFERROR(__xludf.DUMMYFUNCTION("""COMPUTED_VALUE"""),"""মহিষাখোলা")</f>
        <v>"মহিষাখোলা</v>
      </c>
      <c r="J133" s="4" t="str">
        <f>IFERROR(__xludf.DUMMYFUNCTION("""COMPUTED_VALUE""")," গাংনী")</f>
        <v> গাংনী</v>
      </c>
      <c r="K133" s="4" t="str">
        <f>IFERROR(__xludf.DUMMYFUNCTION("""COMPUTED_VALUE""")," মেহেরপুর""")</f>
        <v> মেহেরপুর"</v>
      </c>
    </row>
    <row r="134" ht="15.75" customHeight="1">
      <c r="A134" s="8" t="s">
        <v>2335</v>
      </c>
      <c r="B134" s="4">
        <f>IFERROR(__xludf.DUMMYFUNCTION("SPLIT(A134,"","")"),138.0)</f>
        <v>138</v>
      </c>
      <c r="C134" s="4" t="str">
        <f>IFERROR(__xludf.DUMMYFUNCTION("""COMPUTED_VALUE"""),"মোছাঃ তহলিমা খাতুন")</f>
        <v>মোছাঃ তহলিমা খাতুন</v>
      </c>
      <c r="D134" s="4">
        <f>IFERROR(__xludf.DUMMYFUNCTION("""COMPUTED_VALUE"""),5.700543774265E12)</f>
        <v>5700543774265</v>
      </c>
      <c r="E134" s="4" t="str">
        <f>IFERROR(__xludf.DUMMYFUNCTION("""COMPUTED_VALUE"""),"আতাহার মন্ডল")</f>
        <v>আতাহার মন্ডল</v>
      </c>
      <c r="F134" s="4" t="str">
        <f>IFERROR(__xludf.DUMMYFUNCTION("""COMPUTED_VALUE"""),"মোছাঃ মনোরা খাতুন")</f>
        <v>মোছাঃ মনোরা খাতুন</v>
      </c>
      <c r="G134" s="4" t="str">
        <f>IFERROR(__xludf.DUMMYFUNCTION("""COMPUTED_VALUE"""),"১০/০৯/১৯৭২")</f>
        <v>১০/০৯/১৯৭২</v>
      </c>
      <c r="H134" s="4" t="str">
        <f>IFERROR(__xludf.DUMMYFUNCTION("""COMPUTED_VALUE"""),"গৃহিনী")</f>
        <v>গৃহিনী</v>
      </c>
      <c r="I134" s="4" t="str">
        <f>IFERROR(__xludf.DUMMYFUNCTION("""COMPUTED_VALUE"""),"""মহিষাখোলা")</f>
        <v>"মহিষাখোলা</v>
      </c>
      <c r="J134" s="4" t="str">
        <f>IFERROR(__xludf.DUMMYFUNCTION("""COMPUTED_VALUE""")," গাংনী")</f>
        <v> গাংনী</v>
      </c>
      <c r="K134" s="4" t="str">
        <f>IFERROR(__xludf.DUMMYFUNCTION("""COMPUTED_VALUE""")," মেহেরপুর""")</f>
        <v> মেহেরপুর"</v>
      </c>
    </row>
    <row r="135" ht="15.75" customHeight="1">
      <c r="A135" s="8" t="s">
        <v>2336</v>
      </c>
      <c r="B135" s="4">
        <f>IFERROR(__xludf.DUMMYFUNCTION("SPLIT(A135,"","")"),139.0)</f>
        <v>139</v>
      </c>
      <c r="C135" s="4" t="str">
        <f>IFERROR(__xludf.DUMMYFUNCTION("""COMPUTED_VALUE"""),"মোছাঃ হালিমা বেগম")</f>
        <v>মোছাঃ হালিমা বেগম</v>
      </c>
      <c r="D135" s="4">
        <f>IFERROR(__xludf.DUMMYFUNCTION("""COMPUTED_VALUE"""),5.700543774266E12)</f>
        <v>5700543774266</v>
      </c>
      <c r="E135" s="4" t="str">
        <f>IFERROR(__xludf.DUMMYFUNCTION("""COMPUTED_VALUE"""),"চতুর মোল্লা")</f>
        <v>চতুর মোল্লা</v>
      </c>
      <c r="F135" s="4" t="str">
        <f>IFERROR(__xludf.DUMMYFUNCTION("""COMPUTED_VALUE"""),"মোছাঃ মরিয়ম বেগম")</f>
        <v>মোছাঃ মরিয়ম বেগম</v>
      </c>
      <c r="G135" s="4" t="str">
        <f>IFERROR(__xludf.DUMMYFUNCTION("""COMPUTED_VALUE"""),"১৫/০৩/১৯৬৯")</f>
        <v>১৫/০৩/১৯৬৯</v>
      </c>
      <c r="H135" s="4" t="str">
        <f>IFERROR(__xludf.DUMMYFUNCTION("""COMPUTED_VALUE"""),"গৃহিনী")</f>
        <v>গৃহিনী</v>
      </c>
      <c r="I135" s="4" t="str">
        <f>IFERROR(__xludf.DUMMYFUNCTION("""COMPUTED_VALUE"""),"""মহিষাখোলা")</f>
        <v>"মহিষাখোলা</v>
      </c>
      <c r="J135" s="4" t="str">
        <f>IFERROR(__xludf.DUMMYFUNCTION("""COMPUTED_VALUE""")," গাংনী")</f>
        <v> গাংনী</v>
      </c>
      <c r="K135" s="4" t="str">
        <f>IFERROR(__xludf.DUMMYFUNCTION("""COMPUTED_VALUE""")," মেহেরপুর""")</f>
        <v> মেহেরপুর"</v>
      </c>
    </row>
    <row r="136" ht="15.75" customHeight="1">
      <c r="A136" s="8" t="s">
        <v>2337</v>
      </c>
      <c r="B136" s="4">
        <f>IFERROR(__xludf.DUMMYFUNCTION("SPLIT(A136,"","")"),140.0)</f>
        <v>140</v>
      </c>
      <c r="C136" s="4" t="str">
        <f>IFERROR(__xludf.DUMMYFUNCTION("""COMPUTED_VALUE"""),"পলি খাতুন")</f>
        <v>পলি খাতুন</v>
      </c>
      <c r="D136" s="4">
        <f>IFERROR(__xludf.DUMMYFUNCTION("""COMPUTED_VALUE"""),5.700543774267E12)</f>
        <v>5700543774267</v>
      </c>
      <c r="E136" s="4" t="str">
        <f>IFERROR(__xludf.DUMMYFUNCTION("""COMPUTED_VALUE"""),"মোঃ নুরু মোল্লা")</f>
        <v>মোঃ নুরু মোল্লা</v>
      </c>
      <c r="F136" s="4" t="str">
        <f>IFERROR(__xludf.DUMMYFUNCTION("""COMPUTED_VALUE"""),"মোছাঃ জরিমনা নেছা")</f>
        <v>মোছাঃ জরিমনা নেছা</v>
      </c>
      <c r="G136" s="4" t="str">
        <f>IFERROR(__xludf.DUMMYFUNCTION("""COMPUTED_VALUE"""),"১০/০৬/১৯৮০")</f>
        <v>১০/০৬/১৯৮০</v>
      </c>
      <c r="H136" s="4" t="str">
        <f>IFERROR(__xludf.DUMMYFUNCTION("""COMPUTED_VALUE"""),"গৃহিনী")</f>
        <v>গৃহিনী</v>
      </c>
      <c r="I136" s="4" t="str">
        <f>IFERROR(__xludf.DUMMYFUNCTION("""COMPUTED_VALUE"""),"""মহিষাখোলা")</f>
        <v>"মহিষাখোলা</v>
      </c>
      <c r="J136" s="4" t="str">
        <f>IFERROR(__xludf.DUMMYFUNCTION("""COMPUTED_VALUE""")," গাংনী")</f>
        <v> গাংনী</v>
      </c>
      <c r="K136" s="4" t="str">
        <f>IFERROR(__xludf.DUMMYFUNCTION("""COMPUTED_VALUE""")," মেহেরপুর""")</f>
        <v> মেহেরপুর"</v>
      </c>
    </row>
    <row r="137" ht="15.75" customHeight="1">
      <c r="A137" s="8" t="s">
        <v>2338</v>
      </c>
      <c r="B137" s="4">
        <f>IFERROR(__xludf.DUMMYFUNCTION("SPLIT(A137,"","")"),141.0)</f>
        <v>141</v>
      </c>
      <c r="C137" s="4" t="str">
        <f>IFERROR(__xludf.DUMMYFUNCTION("""COMPUTED_VALUE"""),"মোছাঃ মাহাতন নেছা")</f>
        <v>মোছাঃ মাহাতন নেছা</v>
      </c>
      <c r="D137" s="4">
        <f>IFERROR(__xludf.DUMMYFUNCTION("""COMPUTED_VALUE"""),5.700543774273E12)</f>
        <v>5700543774273</v>
      </c>
      <c r="E137" s="4" t="str">
        <f>IFERROR(__xludf.DUMMYFUNCTION("""COMPUTED_VALUE"""),"মহিরুদ্দীন মন্ডল")</f>
        <v>মহিরুদ্দীন মন্ডল</v>
      </c>
      <c r="F137" s="4" t="str">
        <f>IFERROR(__xludf.DUMMYFUNCTION("""COMPUTED_VALUE"""),"মোছাঃ আলতা বিবি")</f>
        <v>মোছাঃ আলতা বিবি</v>
      </c>
      <c r="G137" s="4" t="str">
        <f>IFERROR(__xludf.DUMMYFUNCTION("""COMPUTED_VALUE"""),"২০/০৩/১৯৭৫")</f>
        <v>২০/০৩/১৯৭৫</v>
      </c>
      <c r="H137" s="4" t="str">
        <f>IFERROR(__xludf.DUMMYFUNCTION("""COMPUTED_VALUE"""),"গৃহিনী")</f>
        <v>গৃহিনী</v>
      </c>
      <c r="I137" s="4" t="str">
        <f>IFERROR(__xludf.DUMMYFUNCTION("""COMPUTED_VALUE"""),"""মহিষাখোলা")</f>
        <v>"মহিষাখোলা</v>
      </c>
      <c r="J137" s="4" t="str">
        <f>IFERROR(__xludf.DUMMYFUNCTION("""COMPUTED_VALUE""")," গাংনী")</f>
        <v> গাংনী</v>
      </c>
      <c r="K137" s="4" t="str">
        <f>IFERROR(__xludf.DUMMYFUNCTION("""COMPUTED_VALUE""")," মেহেরপুর""")</f>
        <v> মেহেরপুর"</v>
      </c>
    </row>
    <row r="138" ht="15.75" customHeight="1">
      <c r="A138" s="8" t="s">
        <v>2339</v>
      </c>
      <c r="B138" s="4">
        <f>IFERROR(__xludf.DUMMYFUNCTION("SPLIT(A138,"","")"),142.0)</f>
        <v>142</v>
      </c>
      <c r="C138" s="4" t="str">
        <f>IFERROR(__xludf.DUMMYFUNCTION("""COMPUTED_VALUE"""),"মোছাঃ বেদানা খাতুন")</f>
        <v>মোছাঃ বেদানা খাতুন</v>
      </c>
      <c r="D138" s="4">
        <f>IFERROR(__xludf.DUMMYFUNCTION("""COMPUTED_VALUE"""),5.700543774274E12)</f>
        <v>5700543774274</v>
      </c>
      <c r="E138" s="4" t="str">
        <f>IFERROR(__xludf.DUMMYFUNCTION("""COMPUTED_VALUE"""),"মোঃ হায়াত আলী")</f>
        <v>মোঃ হায়াত আলী</v>
      </c>
      <c r="F138" s="4" t="str">
        <f>IFERROR(__xludf.DUMMYFUNCTION("""COMPUTED_VALUE"""),"আউলিয়া খাতুন")</f>
        <v>আউলিয়া খাতুন</v>
      </c>
      <c r="G138" s="4" t="str">
        <f>IFERROR(__xludf.DUMMYFUNCTION("""COMPUTED_VALUE"""),"১৫/০৪/১৯৬৭")</f>
        <v>১৫/০৪/১৯৬৭</v>
      </c>
      <c r="H138" s="4" t="str">
        <f>IFERROR(__xludf.DUMMYFUNCTION("""COMPUTED_VALUE"""),"গৃহিনী")</f>
        <v>গৃহিনী</v>
      </c>
      <c r="I138" s="4" t="str">
        <f>IFERROR(__xludf.DUMMYFUNCTION("""COMPUTED_VALUE"""),"""মহিষাখোলা")</f>
        <v>"মহিষাখোলা</v>
      </c>
      <c r="J138" s="4" t="str">
        <f>IFERROR(__xludf.DUMMYFUNCTION("""COMPUTED_VALUE""")," গাংনী")</f>
        <v> গাংনী</v>
      </c>
      <c r="K138" s="4" t="str">
        <f>IFERROR(__xludf.DUMMYFUNCTION("""COMPUTED_VALUE""")," মেহেরপুর""")</f>
        <v> মেহেরপুর"</v>
      </c>
    </row>
    <row r="139" ht="15.75" customHeight="1">
      <c r="A139" s="8" t="s">
        <v>2340</v>
      </c>
      <c r="B139" s="4">
        <f>IFERROR(__xludf.DUMMYFUNCTION("SPLIT(A139,"","")"),143.0)</f>
        <v>143</v>
      </c>
      <c r="C139" s="4" t="str">
        <f>IFERROR(__xludf.DUMMYFUNCTION("""COMPUTED_VALUE"""),"মোছাঃ ছালমা খাতুন")</f>
        <v>মোছাঃ ছালমা খাতুন</v>
      </c>
      <c r="D139" s="4">
        <f>IFERROR(__xludf.DUMMYFUNCTION("""COMPUTED_VALUE"""),5.700543774275E12)</f>
        <v>5700543774275</v>
      </c>
      <c r="E139" s="4" t="str">
        <f>IFERROR(__xludf.DUMMYFUNCTION("""COMPUTED_VALUE"""),"মোঃ ফয়েজ উদ্দীন")</f>
        <v>মোঃ ফয়েজ উদ্দীন</v>
      </c>
      <c r="F139" s="4" t="str">
        <f>IFERROR(__xludf.DUMMYFUNCTION("""COMPUTED_VALUE"""),"মোছাঃ আছিয়া খাতুন")</f>
        <v>মোছাঃ আছিয়া খাতুন</v>
      </c>
      <c r="G139" s="4" t="str">
        <f>IFERROR(__xludf.DUMMYFUNCTION("""COMPUTED_VALUE"""),"৩০/০৬/১৯৮৮")</f>
        <v>৩০/০৬/১৯৮৮</v>
      </c>
      <c r="H139" s="4" t="str">
        <f>IFERROR(__xludf.DUMMYFUNCTION("""COMPUTED_VALUE"""),"গৃহিনী")</f>
        <v>গৃহিনী</v>
      </c>
      <c r="I139" s="4" t="str">
        <f>IFERROR(__xludf.DUMMYFUNCTION("""COMPUTED_VALUE"""),"""মহিষাখোলা")</f>
        <v>"মহিষাখোলা</v>
      </c>
      <c r="J139" s="4" t="str">
        <f>IFERROR(__xludf.DUMMYFUNCTION("""COMPUTED_VALUE""")," গাংনী")</f>
        <v> গাংনী</v>
      </c>
      <c r="K139" s="4" t="str">
        <f>IFERROR(__xludf.DUMMYFUNCTION("""COMPUTED_VALUE""")," মেহেরপুর""")</f>
        <v> মেহেরপুর"</v>
      </c>
    </row>
    <row r="140" ht="15.75" customHeight="1">
      <c r="A140" s="8" t="s">
        <v>2341</v>
      </c>
      <c r="B140" s="4">
        <f>IFERROR(__xludf.DUMMYFUNCTION("SPLIT(A140,"","")"),144.0)</f>
        <v>144</v>
      </c>
      <c r="C140" s="4" t="str">
        <f>IFERROR(__xludf.DUMMYFUNCTION("""COMPUTED_VALUE"""),"মোছাঃ লিপি খাতুন")</f>
        <v>মোছাঃ লিপি খাতুন</v>
      </c>
      <c r="D140" s="4">
        <f>IFERROR(__xludf.DUMMYFUNCTION("""COMPUTED_VALUE"""),5.700543774281E12)</f>
        <v>5700543774281</v>
      </c>
      <c r="E140" s="4" t="str">
        <f>IFERROR(__xludf.DUMMYFUNCTION("""COMPUTED_VALUE"""),"রাজ্জাক মল্লিক")</f>
        <v>রাজ্জাক মল্লিক</v>
      </c>
      <c r="F140" s="4" t="str">
        <f>IFERROR(__xludf.DUMMYFUNCTION("""COMPUTED_VALUE"""),"মোছাঃ সুনাই বিবি")</f>
        <v>মোছাঃ সুনাই বিবি</v>
      </c>
      <c r="G140" s="4" t="str">
        <f>IFERROR(__xludf.DUMMYFUNCTION("""COMPUTED_VALUE"""),"১৭/১০/১৯৮৩")</f>
        <v>১৭/১০/১৯৮৩</v>
      </c>
      <c r="H140" s="4" t="str">
        <f>IFERROR(__xludf.DUMMYFUNCTION("""COMPUTED_VALUE"""),"গৃহিনী")</f>
        <v>গৃহিনী</v>
      </c>
      <c r="I140" s="4" t="str">
        <f>IFERROR(__xludf.DUMMYFUNCTION("""COMPUTED_VALUE"""),"""মহিষাখোলা")</f>
        <v>"মহিষাখোলা</v>
      </c>
      <c r="J140" s="4" t="str">
        <f>IFERROR(__xludf.DUMMYFUNCTION("""COMPUTED_VALUE""")," গাংনী")</f>
        <v> গাংনী</v>
      </c>
      <c r="K140" s="4" t="str">
        <f>IFERROR(__xludf.DUMMYFUNCTION("""COMPUTED_VALUE""")," মেহেরপুর""")</f>
        <v> মেহেরপুর"</v>
      </c>
    </row>
    <row r="141" ht="15.75" customHeight="1">
      <c r="A141" s="8" t="s">
        <v>2342</v>
      </c>
      <c r="B141" s="4">
        <f>IFERROR(__xludf.DUMMYFUNCTION("SPLIT(A141,"","")"),145.0)</f>
        <v>145</v>
      </c>
      <c r="C141" s="4" t="str">
        <f>IFERROR(__xludf.DUMMYFUNCTION("""COMPUTED_VALUE"""),"মোছাঃ মহিলা খাতুন")</f>
        <v>মোছাঃ মহিলা খাতুন</v>
      </c>
      <c r="D141" s="4">
        <f>IFERROR(__xludf.DUMMYFUNCTION("""COMPUTED_VALUE"""),5.700543774284E12)</f>
        <v>5700543774284</v>
      </c>
      <c r="E141" s="4" t="str">
        <f>IFERROR(__xludf.DUMMYFUNCTION("""COMPUTED_VALUE"""),"মোঃ মওলা বকস")</f>
        <v>মোঃ মওলা বকস</v>
      </c>
      <c r="F141" s="4" t="str">
        <f>IFERROR(__xludf.DUMMYFUNCTION("""COMPUTED_VALUE"""),"সুরাজ খাতুন")</f>
        <v>সুরাজ খাতুন</v>
      </c>
      <c r="G141" s="4" t="str">
        <f>IFERROR(__xludf.DUMMYFUNCTION("""COMPUTED_VALUE"""),"১৫/১১/১৯৭০")</f>
        <v>১৫/১১/১৯৭০</v>
      </c>
      <c r="H141" s="4" t="str">
        <f>IFERROR(__xludf.DUMMYFUNCTION("""COMPUTED_VALUE"""),"গৃহিনী")</f>
        <v>গৃহিনী</v>
      </c>
      <c r="I141" s="4" t="str">
        <f>IFERROR(__xludf.DUMMYFUNCTION("""COMPUTED_VALUE"""),"""মহিষাখোলা")</f>
        <v>"মহিষাখোলা</v>
      </c>
      <c r="J141" s="4" t="str">
        <f>IFERROR(__xludf.DUMMYFUNCTION("""COMPUTED_VALUE""")," গাংনী")</f>
        <v> গাংনী</v>
      </c>
      <c r="K141" s="4" t="str">
        <f>IFERROR(__xludf.DUMMYFUNCTION("""COMPUTED_VALUE""")," মেহেরপুর""")</f>
        <v> মেহেরপুর"</v>
      </c>
    </row>
    <row r="142" ht="15.75" customHeight="1">
      <c r="A142" s="8" t="s">
        <v>2343</v>
      </c>
      <c r="B142" s="4">
        <f>IFERROR(__xludf.DUMMYFUNCTION("SPLIT(A142,"","")"),146.0)</f>
        <v>146</v>
      </c>
      <c r="C142" s="4" t="str">
        <f>IFERROR(__xludf.DUMMYFUNCTION("""COMPUTED_VALUE"""),"মোছাঃ লিলুফা খাতুন")</f>
        <v>মোছাঃ লিলুফা খাতুন</v>
      </c>
      <c r="D142" s="4">
        <f>IFERROR(__xludf.DUMMYFUNCTION("""COMPUTED_VALUE"""),5.700543774287E12)</f>
        <v>5700543774287</v>
      </c>
      <c r="E142" s="4" t="str">
        <f>IFERROR(__xludf.DUMMYFUNCTION("""COMPUTED_VALUE"""),"মোঃ আবদাল হক")</f>
        <v>মোঃ আবদাল হক</v>
      </c>
      <c r="F142" s="4" t="str">
        <f>IFERROR(__xludf.DUMMYFUNCTION("""COMPUTED_VALUE"""),"মোছাঃ ছাদিমন নেছা")</f>
        <v>মোছাঃ ছাদিমন নেছা</v>
      </c>
      <c r="G142" s="4" t="str">
        <f>IFERROR(__xludf.DUMMYFUNCTION("""COMPUTED_VALUE"""),"০৭/০৬/১৯৬৭")</f>
        <v>০৭/০৬/১৯৬৭</v>
      </c>
      <c r="H142" s="4" t="str">
        <f>IFERROR(__xludf.DUMMYFUNCTION("""COMPUTED_VALUE"""),"গৃহিনী")</f>
        <v>গৃহিনী</v>
      </c>
      <c r="I142" s="4" t="str">
        <f>IFERROR(__xludf.DUMMYFUNCTION("""COMPUTED_VALUE"""),"""মহিষাখোলা")</f>
        <v>"মহিষাখোলা</v>
      </c>
      <c r="J142" s="4" t="str">
        <f>IFERROR(__xludf.DUMMYFUNCTION("""COMPUTED_VALUE""")," গাংনী")</f>
        <v> গাংনী</v>
      </c>
      <c r="K142" s="4" t="str">
        <f>IFERROR(__xludf.DUMMYFUNCTION("""COMPUTED_VALUE""")," মেহেরপুর""")</f>
        <v> মেহেরপুর"</v>
      </c>
    </row>
    <row r="143" ht="15.75" customHeight="1">
      <c r="A143" s="8" t="s">
        <v>2344</v>
      </c>
      <c r="B143" s="4">
        <f>IFERROR(__xludf.DUMMYFUNCTION("SPLIT(A143,"","")"),147.0)</f>
        <v>147</v>
      </c>
      <c r="C143" s="4" t="str">
        <f>IFERROR(__xludf.DUMMYFUNCTION("""COMPUTED_VALUE"""),"মোছাঃ জোসনা খাতুন")</f>
        <v>মোছাঃ জোসনা খাতুন</v>
      </c>
      <c r="D143" s="4">
        <f>IFERROR(__xludf.DUMMYFUNCTION("""COMPUTED_VALUE"""),5.700543774289E12)</f>
        <v>5700543774289</v>
      </c>
      <c r="E143" s="4" t="str">
        <f>IFERROR(__xludf.DUMMYFUNCTION("""COMPUTED_VALUE"""),"রন বকস")</f>
        <v>রন বকস</v>
      </c>
      <c r="F143" s="4" t="str">
        <f>IFERROR(__xludf.DUMMYFUNCTION("""COMPUTED_VALUE"""),"মোছাঃ ছবেদা খাতুন")</f>
        <v>মোছাঃ ছবেদা খাতুন</v>
      </c>
      <c r="G143" s="4" t="str">
        <f>IFERROR(__xludf.DUMMYFUNCTION("""COMPUTED_VALUE"""),"১৯/০৭/১৯৬৭")</f>
        <v>১৯/০৭/১৯৬৭</v>
      </c>
      <c r="H143" s="4" t="str">
        <f>IFERROR(__xludf.DUMMYFUNCTION("""COMPUTED_VALUE"""),"গৃহিনী")</f>
        <v>গৃহিনী</v>
      </c>
      <c r="I143" s="4" t="str">
        <f>IFERROR(__xludf.DUMMYFUNCTION("""COMPUTED_VALUE"""),"""মহিষাখোলা")</f>
        <v>"মহিষাখোলা</v>
      </c>
      <c r="J143" s="4" t="str">
        <f>IFERROR(__xludf.DUMMYFUNCTION("""COMPUTED_VALUE""")," গাংনী")</f>
        <v> গাংনী</v>
      </c>
      <c r="K143" s="4" t="str">
        <f>IFERROR(__xludf.DUMMYFUNCTION("""COMPUTED_VALUE""")," মেহেরপুর""")</f>
        <v> মেহেরপুর"</v>
      </c>
    </row>
    <row r="144" ht="15.75" customHeight="1">
      <c r="A144" s="8" t="s">
        <v>2345</v>
      </c>
      <c r="B144" s="4">
        <f>IFERROR(__xludf.DUMMYFUNCTION("SPLIT(A144,"","")"),148.0)</f>
        <v>148</v>
      </c>
      <c r="C144" s="4" t="str">
        <f>IFERROR(__xludf.DUMMYFUNCTION("""COMPUTED_VALUE"""),"মোছাঃ শিলুফা খাতুন")</f>
        <v>মোছাঃ শিলুফা খাতুন</v>
      </c>
      <c r="D144" s="4">
        <f>IFERROR(__xludf.DUMMYFUNCTION("""COMPUTED_VALUE"""),5.70054377429E12)</f>
        <v>5700543774290</v>
      </c>
      <c r="E144" s="4" t="str">
        <f>IFERROR(__xludf.DUMMYFUNCTION("""COMPUTED_VALUE"""),"মোঃ বজলুর রহমান")</f>
        <v>মোঃ বজলুর রহমান</v>
      </c>
      <c r="F144" s="4" t="str">
        <f>IFERROR(__xludf.DUMMYFUNCTION("""COMPUTED_VALUE"""),"মোছাঃ সেলিনা খাতুন")</f>
        <v>মোছাঃ সেলিনা খাতুন</v>
      </c>
      <c r="G144" s="4" t="str">
        <f>IFERROR(__xludf.DUMMYFUNCTION("""COMPUTED_VALUE"""),"২০/০২/১৯৮৫")</f>
        <v>২০/০২/১৯৮৫</v>
      </c>
      <c r="H144" s="4" t="str">
        <f>IFERROR(__xludf.DUMMYFUNCTION("""COMPUTED_VALUE"""),"গৃহিনী")</f>
        <v>গৃহিনী</v>
      </c>
      <c r="I144" s="4" t="str">
        <f>IFERROR(__xludf.DUMMYFUNCTION("""COMPUTED_VALUE"""),"""মহিষাখোলা")</f>
        <v>"মহিষাখোলা</v>
      </c>
      <c r="J144" s="4" t="str">
        <f>IFERROR(__xludf.DUMMYFUNCTION("""COMPUTED_VALUE""")," গাংনী")</f>
        <v> গাংনী</v>
      </c>
      <c r="K144" s="4" t="str">
        <f>IFERROR(__xludf.DUMMYFUNCTION("""COMPUTED_VALUE""")," মেহেরপুর""")</f>
        <v> মেহেরপুর"</v>
      </c>
    </row>
    <row r="145" ht="15.75" customHeight="1">
      <c r="A145" s="8" t="s">
        <v>2346</v>
      </c>
      <c r="B145" s="4">
        <f>IFERROR(__xludf.DUMMYFUNCTION("SPLIT(A145,"","")"),149.0)</f>
        <v>149</v>
      </c>
      <c r="C145" s="4" t="str">
        <f>IFERROR(__xludf.DUMMYFUNCTION("""COMPUTED_VALUE"""),"মোছাঃ রুবিনা খাতুন")</f>
        <v>মোছাঃ রুবিনা খাতুন</v>
      </c>
      <c r="D145" s="4">
        <f>IFERROR(__xludf.DUMMYFUNCTION("""COMPUTED_VALUE"""),5.700543774296E12)</f>
        <v>5700543774296</v>
      </c>
      <c r="E145" s="4" t="str">
        <f>IFERROR(__xludf.DUMMYFUNCTION("""COMPUTED_VALUE"""),"মোঃ খাইরুল ইসলাম")</f>
        <v>মোঃ খাইরুল ইসলাম</v>
      </c>
      <c r="F145" s="4" t="str">
        <f>IFERROR(__xludf.DUMMYFUNCTION("""COMPUTED_VALUE"""),"মোছাঃ আনুরা খাতুন")</f>
        <v>মোছাঃ আনুরা খাতুন</v>
      </c>
      <c r="G145" s="4" t="str">
        <f>IFERROR(__xludf.DUMMYFUNCTION("""COMPUTED_VALUE"""),"১৩/০৬/১৯৮৩")</f>
        <v>১৩/০৬/১৯৮৩</v>
      </c>
      <c r="H145" s="4" t="str">
        <f>IFERROR(__xludf.DUMMYFUNCTION("""COMPUTED_VALUE"""),"গৃহিনী")</f>
        <v>গৃহিনী</v>
      </c>
      <c r="I145" s="4" t="str">
        <f>IFERROR(__xludf.DUMMYFUNCTION("""COMPUTED_VALUE"""),"""মহিষাখোলা")</f>
        <v>"মহিষাখোলা</v>
      </c>
      <c r="J145" s="4" t="str">
        <f>IFERROR(__xludf.DUMMYFUNCTION("""COMPUTED_VALUE""")," গাংনী")</f>
        <v> গাংনী</v>
      </c>
      <c r="K145" s="4" t="str">
        <f>IFERROR(__xludf.DUMMYFUNCTION("""COMPUTED_VALUE""")," মেহেরপুর""")</f>
        <v> মেহেরপুর"</v>
      </c>
    </row>
    <row r="146" ht="15.75" customHeight="1">
      <c r="A146" s="8" t="s">
        <v>2347</v>
      </c>
      <c r="B146" s="4">
        <f>IFERROR(__xludf.DUMMYFUNCTION("SPLIT(A146,"","")"),150.0)</f>
        <v>150</v>
      </c>
      <c r="C146" s="4" t="str">
        <f>IFERROR(__xludf.DUMMYFUNCTION("""COMPUTED_VALUE"""),"মোছাঃ আলতা খাতুন")</f>
        <v>মোছাঃ আলতা খাতুন</v>
      </c>
      <c r="D146" s="4">
        <f>IFERROR(__xludf.DUMMYFUNCTION("""COMPUTED_VALUE"""),5.700543774297E12)</f>
        <v>5700543774297</v>
      </c>
      <c r="E146" s="4" t="str">
        <f>IFERROR(__xludf.DUMMYFUNCTION("""COMPUTED_VALUE"""),"বকস মন্ডল")</f>
        <v>বকস মন্ডল</v>
      </c>
      <c r="F146" s="4" t="str">
        <f>IFERROR(__xludf.DUMMYFUNCTION("""COMPUTED_VALUE"""),"মোছাঃ আমেনা খাতুন")</f>
        <v>মোছাঃ আমেনা খাতুন</v>
      </c>
      <c r="G146" s="4" t="str">
        <f>IFERROR(__xludf.DUMMYFUNCTION("""COMPUTED_VALUE"""),"১৪/০৬/১৯৬৭")</f>
        <v>১৪/০৬/১৯৬৭</v>
      </c>
      <c r="H146" s="4" t="str">
        <f>IFERROR(__xludf.DUMMYFUNCTION("""COMPUTED_VALUE"""),"গৃহিনী")</f>
        <v>গৃহিনী</v>
      </c>
      <c r="I146" s="4" t="str">
        <f>IFERROR(__xludf.DUMMYFUNCTION("""COMPUTED_VALUE"""),"""মহিষাখোলা")</f>
        <v>"মহিষাখোলা</v>
      </c>
      <c r="J146" s="4" t="str">
        <f>IFERROR(__xludf.DUMMYFUNCTION("""COMPUTED_VALUE""")," গাংনী")</f>
        <v> গাংনী</v>
      </c>
      <c r="K146" s="4" t="str">
        <f>IFERROR(__xludf.DUMMYFUNCTION("""COMPUTED_VALUE""")," মেহেরপুর""")</f>
        <v> মেহেরপুর"</v>
      </c>
    </row>
    <row r="147" ht="15.75" customHeight="1">
      <c r="A147" s="8" t="s">
        <v>2348</v>
      </c>
      <c r="B147" s="4">
        <f>IFERROR(__xludf.DUMMYFUNCTION("SPLIT(A147,"","")"),151.0)</f>
        <v>151</v>
      </c>
      <c r="C147" s="4" t="str">
        <f>IFERROR(__xludf.DUMMYFUNCTION("""COMPUTED_VALUE"""),"মোছাঃ ফাতেমা খাতুন")</f>
        <v>মোছাঃ ফাতেমা খাতুন</v>
      </c>
      <c r="D147" s="4">
        <f>IFERROR(__xludf.DUMMYFUNCTION("""COMPUTED_VALUE"""),5.700543774299E12)</f>
        <v>5700543774299</v>
      </c>
      <c r="E147" s="4" t="str">
        <f>IFERROR(__xludf.DUMMYFUNCTION("""COMPUTED_VALUE"""),"উমবাদ আলী")</f>
        <v>উমবাদ আলী</v>
      </c>
      <c r="F147" s="4" t="str">
        <f>IFERROR(__xludf.DUMMYFUNCTION("""COMPUTED_VALUE"""),"মোছাঃ পিঞ্জিরা খাতুন")</f>
        <v>মোছাঃ পিঞ্জিরা খাতুন</v>
      </c>
      <c r="G147" s="4" t="str">
        <f>IFERROR(__xludf.DUMMYFUNCTION("""COMPUTED_VALUE"""),"২১/১১/১৯৭৩")</f>
        <v>২১/১১/১৯৭৩</v>
      </c>
      <c r="H147" s="4" t="str">
        <f>IFERROR(__xludf.DUMMYFUNCTION("""COMPUTED_VALUE"""),"গৃহিনী")</f>
        <v>গৃহিনী</v>
      </c>
      <c r="I147" s="4" t="str">
        <f>IFERROR(__xludf.DUMMYFUNCTION("""COMPUTED_VALUE"""),"""মহিষাখোলা")</f>
        <v>"মহিষাখোলা</v>
      </c>
      <c r="J147" s="4" t="str">
        <f>IFERROR(__xludf.DUMMYFUNCTION("""COMPUTED_VALUE""")," গাংনী")</f>
        <v> গাংনী</v>
      </c>
      <c r="K147" s="4" t="str">
        <f>IFERROR(__xludf.DUMMYFUNCTION("""COMPUTED_VALUE""")," মেহেরপুর""")</f>
        <v> মেহেরপুর"</v>
      </c>
    </row>
    <row r="148" ht="15.75" customHeight="1">
      <c r="A148" s="8" t="s">
        <v>2349</v>
      </c>
      <c r="B148" s="4">
        <f>IFERROR(__xludf.DUMMYFUNCTION("SPLIT(A148,"","")"),152.0)</f>
        <v>152</v>
      </c>
      <c r="C148" s="4" t="str">
        <f>IFERROR(__xludf.DUMMYFUNCTION("""COMPUTED_VALUE"""),"মোছা উজিলা খাতুন")</f>
        <v>মোছা উজিলা খাতুন</v>
      </c>
      <c r="D148" s="4">
        <f>IFERROR(__xludf.DUMMYFUNCTION("""COMPUTED_VALUE"""),5.700543774512E12)</f>
        <v>5700543774512</v>
      </c>
      <c r="E148" s="4" t="str">
        <f>IFERROR(__xludf.DUMMYFUNCTION("""COMPUTED_VALUE"""),"ছহিরুদ্দিন")</f>
        <v>ছহিরুদ্দিন</v>
      </c>
      <c r="F148" s="4" t="str">
        <f>IFERROR(__xludf.DUMMYFUNCTION("""COMPUTED_VALUE"""),"মোছাঃ আনোয়ারা খাতুন")</f>
        <v>মোছাঃ আনোয়ারা খাতুন</v>
      </c>
      <c r="G148" s="4" t="str">
        <f>IFERROR(__xludf.DUMMYFUNCTION("""COMPUTED_VALUE"""),"০৮/১১/১৯৭৭")</f>
        <v>০৮/১১/১৯৭৭</v>
      </c>
      <c r="H148" s="4" t="str">
        <f>IFERROR(__xludf.DUMMYFUNCTION("""COMPUTED_VALUE"""),"গৃহিনী")</f>
        <v>গৃহিনী</v>
      </c>
      <c r="I148" s="4" t="str">
        <f>IFERROR(__xludf.DUMMYFUNCTION("""COMPUTED_VALUE"""),"""মহিষাখোলা")</f>
        <v>"মহিষাখোলা</v>
      </c>
      <c r="J148" s="4" t="str">
        <f>IFERROR(__xludf.DUMMYFUNCTION("""COMPUTED_VALUE""")," গাংনী")</f>
        <v> গাংনী</v>
      </c>
      <c r="K148" s="4" t="str">
        <f>IFERROR(__xludf.DUMMYFUNCTION("""COMPUTED_VALUE""")," মেহেরপুর""")</f>
        <v> মেহেরপুর"</v>
      </c>
    </row>
    <row r="149" ht="15.75" customHeight="1">
      <c r="A149" s="8" t="s">
        <v>2350</v>
      </c>
      <c r="B149" s="4">
        <f>IFERROR(__xludf.DUMMYFUNCTION("SPLIT(A149,"","")"),153.0)</f>
        <v>153</v>
      </c>
      <c r="C149" s="4" t="str">
        <f>IFERROR(__xludf.DUMMYFUNCTION("""COMPUTED_VALUE"""),"মোছাঃ বেদানা খাতুন")</f>
        <v>মোছাঃ বেদানা খাতুন</v>
      </c>
      <c r="D149" s="4">
        <f>IFERROR(__xludf.DUMMYFUNCTION("""COMPUTED_VALUE"""),5.700543774513E12)</f>
        <v>5700543774513</v>
      </c>
      <c r="E149" s="4" t="str">
        <f>IFERROR(__xludf.DUMMYFUNCTION("""COMPUTED_VALUE"""),"রহমতুল্লাহ")</f>
        <v>রহমতুল্লাহ</v>
      </c>
      <c r="F149" s="4" t="str">
        <f>IFERROR(__xludf.DUMMYFUNCTION("""COMPUTED_VALUE"""),"মোছাঃ গলেনুর বেগম")</f>
        <v>মোছাঃ গলেনুর বেগম</v>
      </c>
      <c r="G149" s="4" t="str">
        <f>IFERROR(__xludf.DUMMYFUNCTION("""COMPUTED_VALUE"""),"২০/০৪/১৯৬৭")</f>
        <v>২০/০৪/১৯৬৭</v>
      </c>
      <c r="H149" s="4" t="str">
        <f>IFERROR(__xludf.DUMMYFUNCTION("""COMPUTED_VALUE"""),"গৃহিনী")</f>
        <v>গৃহিনী</v>
      </c>
      <c r="I149" s="4" t="str">
        <f>IFERROR(__xludf.DUMMYFUNCTION("""COMPUTED_VALUE"""),"""মহিষাখোলা")</f>
        <v>"মহিষাখোলা</v>
      </c>
      <c r="J149" s="4" t="str">
        <f>IFERROR(__xludf.DUMMYFUNCTION("""COMPUTED_VALUE""")," গাংনী")</f>
        <v> গাংনী</v>
      </c>
      <c r="K149" s="4" t="str">
        <f>IFERROR(__xludf.DUMMYFUNCTION("""COMPUTED_VALUE""")," মেহেরপুর""")</f>
        <v> মেহেরপুর"</v>
      </c>
    </row>
    <row r="150" ht="15.75" customHeight="1">
      <c r="A150" s="8" t="s">
        <v>2351</v>
      </c>
      <c r="B150" s="4">
        <f>IFERROR(__xludf.DUMMYFUNCTION("SPLIT(A150,"","")"),154.0)</f>
        <v>154</v>
      </c>
      <c r="C150" s="4" t="str">
        <f>IFERROR(__xludf.DUMMYFUNCTION("""COMPUTED_VALUE"""),"মোছাঃ কামরুন্নাহার খাতুন")</f>
        <v>মোছাঃ কামরুন্নাহার খাতুন</v>
      </c>
      <c r="D150" s="4">
        <f>IFERROR(__xludf.DUMMYFUNCTION("""COMPUTED_VALUE"""),5.700543774519E12)</f>
        <v>5700543774519</v>
      </c>
      <c r="E150" s="4" t="str">
        <f>IFERROR(__xludf.DUMMYFUNCTION("""COMPUTED_VALUE"""),"মোঃ আঃ কুদ্দুস")</f>
        <v>মোঃ আঃ কুদ্দুস</v>
      </c>
      <c r="F150" s="4" t="str">
        <f>IFERROR(__xludf.DUMMYFUNCTION("""COMPUTED_VALUE"""),"মোছাঃ রুমেলা খাতুন")</f>
        <v>মোছাঃ রুমেলা খাতুন</v>
      </c>
      <c r="G150" s="4" t="str">
        <f>IFERROR(__xludf.DUMMYFUNCTION("""COMPUTED_VALUE"""),"১০/০৫/১৯৮২")</f>
        <v>১০/০৫/১৯৮২</v>
      </c>
      <c r="H150" s="4" t="str">
        <f>IFERROR(__xludf.DUMMYFUNCTION("""COMPUTED_VALUE"""),"গৃহিনী")</f>
        <v>গৃহিনী</v>
      </c>
      <c r="I150" s="4" t="str">
        <f>IFERROR(__xludf.DUMMYFUNCTION("""COMPUTED_VALUE"""),"""মহিষাখোলা")</f>
        <v>"মহিষাখোলা</v>
      </c>
      <c r="J150" s="4" t="str">
        <f>IFERROR(__xludf.DUMMYFUNCTION("""COMPUTED_VALUE""")," গাংনী")</f>
        <v> গাংনী</v>
      </c>
      <c r="K150" s="4" t="str">
        <f>IFERROR(__xludf.DUMMYFUNCTION("""COMPUTED_VALUE""")," মেহেরপুর""")</f>
        <v> মেহেরপুর"</v>
      </c>
    </row>
    <row r="151" ht="15.75" customHeight="1">
      <c r="A151" s="8" t="s">
        <v>2352</v>
      </c>
      <c r="B151" s="4">
        <f>IFERROR(__xludf.DUMMYFUNCTION("SPLIT(A151,"","")"),155.0)</f>
        <v>155</v>
      </c>
      <c r="C151" s="4" t="str">
        <f>IFERROR(__xludf.DUMMYFUNCTION("""COMPUTED_VALUE"""),"মোছাঃ মাহফুজা খাতুন")</f>
        <v>মোছাঃ মাহফুজা খাতুন</v>
      </c>
      <c r="D151" s="4">
        <f>IFERROR(__xludf.DUMMYFUNCTION("""COMPUTED_VALUE"""),5.70054377452E12)</f>
        <v>5700543774520</v>
      </c>
      <c r="E151" s="4" t="str">
        <f>IFERROR(__xludf.DUMMYFUNCTION("""COMPUTED_VALUE"""),"আব্দুল আজিজ")</f>
        <v>আব্দুল আজিজ</v>
      </c>
      <c r="F151" s="4" t="str">
        <f>IFERROR(__xludf.DUMMYFUNCTION("""COMPUTED_VALUE"""),"মোছাঃ সফুরা খাতুন")</f>
        <v>মোছাঃ সফুরা খাতুন</v>
      </c>
      <c r="G151" s="4" t="str">
        <f>IFERROR(__xludf.DUMMYFUNCTION("""COMPUTED_VALUE"""),"০৬/০৬/১৯৭৮")</f>
        <v>০৬/০৬/১৯৭৮</v>
      </c>
      <c r="H151" s="4" t="str">
        <f>IFERROR(__xludf.DUMMYFUNCTION("""COMPUTED_VALUE"""),"গৃহিনী")</f>
        <v>গৃহিনী</v>
      </c>
      <c r="I151" s="4" t="str">
        <f>IFERROR(__xludf.DUMMYFUNCTION("""COMPUTED_VALUE"""),"""মহিষাখোলা")</f>
        <v>"মহিষাখোলা</v>
      </c>
      <c r="J151" s="4" t="str">
        <f>IFERROR(__xludf.DUMMYFUNCTION("""COMPUTED_VALUE""")," গাংনী")</f>
        <v> গাংনী</v>
      </c>
      <c r="K151" s="4" t="str">
        <f>IFERROR(__xludf.DUMMYFUNCTION("""COMPUTED_VALUE""")," মেহেরপুর""")</f>
        <v> মেহেরপুর"</v>
      </c>
    </row>
    <row r="152" ht="15.75" customHeight="1">
      <c r="A152" s="8" t="s">
        <v>2353</v>
      </c>
      <c r="B152" s="4">
        <f>IFERROR(__xludf.DUMMYFUNCTION("SPLIT(A152,"","")"),156.0)</f>
        <v>156</v>
      </c>
      <c r="C152" s="4" t="str">
        <f>IFERROR(__xludf.DUMMYFUNCTION("""COMPUTED_VALUE"""),"মোছাঃ জীবন নাহার")</f>
        <v>মোছাঃ জীবন নাহার</v>
      </c>
      <c r="D152" s="4">
        <f>IFERROR(__xludf.DUMMYFUNCTION("""COMPUTED_VALUE"""),5.700543774521E12)</f>
        <v>5700543774521</v>
      </c>
      <c r="E152" s="4" t="str">
        <f>IFERROR(__xludf.DUMMYFUNCTION("""COMPUTED_VALUE"""),"মোঃ মিনাজ উদ্দীন")</f>
        <v>মোঃ মিনাজ উদ্দীন</v>
      </c>
      <c r="F152" s="4" t="str">
        <f>IFERROR(__xludf.DUMMYFUNCTION("""COMPUTED_VALUE"""),"মোছাঃ আকলিমা খাতুন")</f>
        <v>মোছাঃ আকলিমা খাতুন</v>
      </c>
      <c r="G152" s="4" t="str">
        <f>IFERROR(__xludf.DUMMYFUNCTION("""COMPUTED_VALUE"""),"০৯/০৯/১৯৮৩")</f>
        <v>০৯/০৯/১৯৮৩</v>
      </c>
      <c r="H152" s="4" t="str">
        <f>IFERROR(__xludf.DUMMYFUNCTION("""COMPUTED_VALUE"""),"গৃহিনী")</f>
        <v>গৃহিনী</v>
      </c>
      <c r="I152" s="4" t="str">
        <f>IFERROR(__xludf.DUMMYFUNCTION("""COMPUTED_VALUE"""),"""মহিষাখোলা")</f>
        <v>"মহিষাখোলা</v>
      </c>
      <c r="J152" s="4" t="str">
        <f>IFERROR(__xludf.DUMMYFUNCTION("""COMPUTED_VALUE""")," গাংনী")</f>
        <v> গাংনী</v>
      </c>
      <c r="K152" s="4" t="str">
        <f>IFERROR(__xludf.DUMMYFUNCTION("""COMPUTED_VALUE""")," মেহেরপুর""")</f>
        <v> মেহেরপুর"</v>
      </c>
    </row>
    <row r="153" ht="15.75" customHeight="1">
      <c r="A153" s="8" t="s">
        <v>2354</v>
      </c>
      <c r="B153" s="4">
        <f>IFERROR(__xludf.DUMMYFUNCTION("SPLIT(A153,"","")"),157.0)</f>
        <v>157</v>
      </c>
      <c r="C153" s="4" t="str">
        <f>IFERROR(__xludf.DUMMYFUNCTION("""COMPUTED_VALUE"""),"মোছাঃ মনোয়ারা খাতুন")</f>
        <v>মোছাঃ মনোয়ারা খাতুন</v>
      </c>
      <c r="D153" s="4">
        <f>IFERROR(__xludf.DUMMYFUNCTION("""COMPUTED_VALUE"""),5.700543774528E12)</f>
        <v>5700543774528</v>
      </c>
      <c r="E153" s="4" t="str">
        <f>IFERROR(__xludf.DUMMYFUNCTION("""COMPUTED_VALUE"""),"মোঃ খেদ আলী মন্ডল")</f>
        <v>মোঃ খেদ আলী মন্ডল</v>
      </c>
      <c r="F153" s="4" t="str">
        <f>IFERROR(__xludf.DUMMYFUNCTION("""COMPUTED_VALUE"""),"মোছাঃ কহিনুর খাতুন")</f>
        <v>মোছাঃ কহিনুর খাতুন</v>
      </c>
      <c r="G153" s="4" t="str">
        <f>IFERROR(__xludf.DUMMYFUNCTION("""COMPUTED_VALUE"""),"০৮/০৭/১৯৭৫")</f>
        <v>০৮/০৭/১৯৭৫</v>
      </c>
      <c r="H153" s="4" t="str">
        <f>IFERROR(__xludf.DUMMYFUNCTION("""COMPUTED_VALUE"""),"গৃহিনী")</f>
        <v>গৃহিনী</v>
      </c>
      <c r="I153" s="4" t="str">
        <f>IFERROR(__xludf.DUMMYFUNCTION("""COMPUTED_VALUE"""),"""মহিষাখোলা")</f>
        <v>"মহিষাখোলা</v>
      </c>
      <c r="J153" s="4" t="str">
        <f>IFERROR(__xludf.DUMMYFUNCTION("""COMPUTED_VALUE""")," গাংনী")</f>
        <v> গাংনী</v>
      </c>
      <c r="K153" s="4" t="str">
        <f>IFERROR(__xludf.DUMMYFUNCTION("""COMPUTED_VALUE""")," মেহেরপুর""")</f>
        <v> মেহেরপুর"</v>
      </c>
    </row>
    <row r="154" ht="15.75" customHeight="1">
      <c r="A154" s="8" t="s">
        <v>2355</v>
      </c>
      <c r="B154" s="4">
        <f>IFERROR(__xludf.DUMMYFUNCTION("SPLIT(A154,"","")"),158.0)</f>
        <v>158</v>
      </c>
      <c r="C154" s="4" t="str">
        <f>IFERROR(__xludf.DUMMYFUNCTION("""COMPUTED_VALUE"""),"মোছাঃ সেলিনা খাতুন")</f>
        <v>মোছাঃ সেলিনা খাতুন</v>
      </c>
      <c r="D154" s="4">
        <f>IFERROR(__xludf.DUMMYFUNCTION("""COMPUTED_VALUE"""),5.700543774529E12)</f>
        <v>5700543774529</v>
      </c>
      <c r="E154" s="4" t="str">
        <f>IFERROR(__xludf.DUMMYFUNCTION("""COMPUTED_VALUE"""),"হেকমত আলী")</f>
        <v>হেকমত আলী</v>
      </c>
      <c r="F154" s="4" t="str">
        <f>IFERROR(__xludf.DUMMYFUNCTION("""COMPUTED_VALUE"""),"মোছাঃ ছফেলা খাতুন")</f>
        <v>মোছাঃ ছফেলা খাতুন</v>
      </c>
      <c r="G154" s="4" t="str">
        <f>IFERROR(__xludf.DUMMYFUNCTION("""COMPUTED_VALUE"""),"২০/০৬/১৯৭২")</f>
        <v>২০/০৬/১৯৭২</v>
      </c>
      <c r="H154" s="4" t="str">
        <f>IFERROR(__xludf.DUMMYFUNCTION("""COMPUTED_VALUE"""),"গৃহিনী")</f>
        <v>গৃহিনী</v>
      </c>
      <c r="I154" s="4" t="str">
        <f>IFERROR(__xludf.DUMMYFUNCTION("""COMPUTED_VALUE"""),"""মহিষাখোলা")</f>
        <v>"মহিষাখোলা</v>
      </c>
      <c r="J154" s="4" t="str">
        <f>IFERROR(__xludf.DUMMYFUNCTION("""COMPUTED_VALUE""")," গাংনী")</f>
        <v> গাংনী</v>
      </c>
      <c r="K154" s="4" t="str">
        <f>IFERROR(__xludf.DUMMYFUNCTION("""COMPUTED_VALUE""")," মেহেরপুর""")</f>
        <v> মেহেরপুর"</v>
      </c>
    </row>
    <row r="155" ht="15.75" customHeight="1">
      <c r="A155" s="8" t="s">
        <v>2356</v>
      </c>
      <c r="B155" s="4">
        <f>IFERROR(__xludf.DUMMYFUNCTION("SPLIT(A155,"","")"),159.0)</f>
        <v>159</v>
      </c>
      <c r="C155" s="4" t="str">
        <f>IFERROR(__xludf.DUMMYFUNCTION("""COMPUTED_VALUE"""),"মোছাঃ মরিয়ম খাতুন")</f>
        <v>মোছাঃ মরিয়ম খাতুন</v>
      </c>
      <c r="D155" s="4">
        <f>IFERROR(__xludf.DUMMYFUNCTION("""COMPUTED_VALUE"""),5.700543774531E12)</f>
        <v>5700543774531</v>
      </c>
      <c r="E155" s="4" t="str">
        <f>IFERROR(__xludf.DUMMYFUNCTION("""COMPUTED_VALUE"""),"হলিমদ্দিন")</f>
        <v>হলিমদ্দিন</v>
      </c>
      <c r="F155" s="4" t="str">
        <f>IFERROR(__xludf.DUMMYFUNCTION("""COMPUTED_VALUE"""),"রাহাতন নেছা")</f>
        <v>রাহাতন নেছা</v>
      </c>
      <c r="G155" s="4" t="str">
        <f>IFERROR(__xludf.DUMMYFUNCTION("""COMPUTED_VALUE"""),"০৭/০৫/১৯৭৭")</f>
        <v>০৭/০৫/১৯৭৭</v>
      </c>
      <c r="H155" s="4" t="str">
        <f>IFERROR(__xludf.DUMMYFUNCTION("""COMPUTED_VALUE"""),"গৃহিনী")</f>
        <v>গৃহিনী</v>
      </c>
      <c r="I155" s="4" t="str">
        <f>IFERROR(__xludf.DUMMYFUNCTION("""COMPUTED_VALUE"""),"""মহিষাখোলা")</f>
        <v>"মহিষাখোলা</v>
      </c>
      <c r="J155" s="4" t="str">
        <f>IFERROR(__xludf.DUMMYFUNCTION("""COMPUTED_VALUE""")," গাংনী")</f>
        <v> গাংনী</v>
      </c>
      <c r="K155" s="4" t="str">
        <f>IFERROR(__xludf.DUMMYFUNCTION("""COMPUTED_VALUE""")," মেহেরপুর""")</f>
        <v> মেহেরপুর"</v>
      </c>
    </row>
    <row r="156" ht="15.75" customHeight="1">
      <c r="B156" s="4" t="str">
        <f>IFERROR(__xludf.DUMMYFUNCTION("SPLIT(A156,"","")"),"#VALUE!")</f>
        <v>#VALUE!</v>
      </c>
    </row>
    <row r="157" ht="15.75" customHeight="1">
      <c r="B157" s="4" t="str">
        <f>IFERROR(__xludf.DUMMYFUNCTION("SPLIT(A157,"","")"),"#VALUE!")</f>
        <v>#VALUE!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